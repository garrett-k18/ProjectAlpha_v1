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Garrett_Local_Share\ProjectAlpha_v1\projectalphav1\z.Admin\NonGitIgonore\"/>
    </mc:Choice>
  </mc:AlternateContent>
  <xr:revisionPtr revIDLastSave="0" documentId="13_ncr:1_{DD928669-1B99-4059-9D1F-BF51B357D89E}" xr6:coauthVersionLast="47" xr6:coauthVersionMax="47" xr10:uidLastSave="{00000000-0000-0000-0000-000000000000}"/>
  <bookViews>
    <workbookView xWindow="-120" yWindow="-120" windowWidth="77040" windowHeight="21120" xr2:uid="{ACA23E1D-0216-49F8-B342-574493D109DC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2" l="1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3" i="2"/>
  <c r="N2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189" i="2"/>
  <c r="AF72" i="2" l="1"/>
  <c r="AH72" i="2" s="1"/>
  <c r="AF73" i="2"/>
  <c r="AH73" i="2" s="1"/>
  <c r="AF74" i="2"/>
  <c r="AG74" i="2" s="1"/>
  <c r="AF75" i="2"/>
  <c r="AG75" i="2" s="1"/>
  <c r="AF76" i="2"/>
  <c r="AE76" i="2" s="1"/>
  <c r="AF77" i="2"/>
  <c r="AE77" i="2" s="1"/>
  <c r="AF78" i="2"/>
  <c r="AE78" i="2" s="1"/>
  <c r="AF79" i="2"/>
  <c r="AH79" i="2" s="1"/>
  <c r="AF80" i="2"/>
  <c r="AE80" i="2" s="1"/>
  <c r="AF81" i="2"/>
  <c r="AE81" i="2" s="1"/>
  <c r="AF82" i="2"/>
  <c r="AG82" i="2" s="1"/>
  <c r="AF83" i="2"/>
  <c r="AG83" i="2" s="1"/>
  <c r="AF84" i="2"/>
  <c r="AG84" i="2" s="1"/>
  <c r="AF85" i="2"/>
  <c r="AE85" i="2" s="1"/>
  <c r="AF86" i="2"/>
  <c r="AE86" i="2" s="1"/>
  <c r="AF87" i="2"/>
  <c r="AG87" i="2" s="1"/>
  <c r="AF88" i="2"/>
  <c r="AH88" i="2" s="1"/>
  <c r="AF89" i="2"/>
  <c r="AG89" i="2" s="1"/>
  <c r="AF90" i="2"/>
  <c r="AG90" i="2" s="1"/>
  <c r="AF91" i="2"/>
  <c r="AG91" i="2" s="1"/>
  <c r="AF92" i="2"/>
  <c r="AE92" i="2" s="1"/>
  <c r="AF93" i="2"/>
  <c r="AE93" i="2" s="1"/>
  <c r="AF94" i="2"/>
  <c r="AH94" i="2" s="1"/>
  <c r="AF95" i="2"/>
  <c r="AG95" i="2" s="1"/>
  <c r="AF96" i="2"/>
  <c r="AH96" i="2" s="1"/>
  <c r="AF97" i="2"/>
  <c r="AH97" i="2" s="1"/>
  <c r="AF98" i="2"/>
  <c r="AG98" i="2" s="1"/>
  <c r="AF99" i="2"/>
  <c r="AG99" i="2" s="1"/>
  <c r="AF100" i="2"/>
  <c r="AE100" i="2" s="1"/>
  <c r="AF101" i="2"/>
  <c r="AE101" i="2" s="1"/>
  <c r="AF102" i="2"/>
  <c r="AE102" i="2" s="1"/>
  <c r="AF103" i="2"/>
  <c r="AE103" i="2" s="1"/>
  <c r="AF104" i="2"/>
  <c r="AE104" i="2" s="1"/>
  <c r="AF105" i="2"/>
  <c r="AE105" i="2" s="1"/>
  <c r="AF106" i="2"/>
  <c r="AE106" i="2" s="1"/>
  <c r="AF107" i="2"/>
  <c r="AG107" i="2" s="1"/>
  <c r="AF108" i="2"/>
  <c r="AG108" i="2" s="1"/>
  <c r="AF109" i="2"/>
  <c r="AE109" i="2" s="1"/>
  <c r="AF110" i="2"/>
  <c r="AE110" i="2" s="1"/>
  <c r="AF111" i="2"/>
  <c r="AG111" i="2" s="1"/>
  <c r="AF112" i="2"/>
  <c r="AH112" i="2" s="1"/>
  <c r="AF113" i="2"/>
  <c r="AE113" i="2" s="1"/>
  <c r="AF114" i="2"/>
  <c r="AG114" i="2" s="1"/>
  <c r="AF115" i="2"/>
  <c r="AG115" i="2" s="1"/>
  <c r="AF116" i="2"/>
  <c r="AE116" i="2" s="1"/>
  <c r="AF117" i="2"/>
  <c r="AE117" i="2" s="1"/>
  <c r="AF118" i="2"/>
  <c r="AH118" i="2" s="1"/>
  <c r="AF119" i="2"/>
  <c r="AG119" i="2" s="1"/>
  <c r="AF120" i="2"/>
  <c r="AH120" i="2" s="1"/>
  <c r="AF121" i="2"/>
  <c r="AH121" i="2" s="1"/>
  <c r="AF122" i="2"/>
  <c r="AG122" i="2" s="1"/>
  <c r="AF123" i="2"/>
  <c r="AG123" i="2" s="1"/>
  <c r="AF124" i="2"/>
  <c r="AE124" i="2" s="1"/>
  <c r="AF125" i="2"/>
  <c r="AE125" i="2" s="1"/>
  <c r="AF126" i="2"/>
  <c r="AE126" i="2" s="1"/>
  <c r="AF127" i="2"/>
  <c r="AH127" i="2" s="1"/>
  <c r="AF128" i="2"/>
  <c r="AE128" i="2" s="1"/>
  <c r="AF129" i="2"/>
  <c r="AE129" i="2" s="1"/>
  <c r="AF130" i="2"/>
  <c r="AH130" i="2" s="1"/>
  <c r="AF131" i="2"/>
  <c r="AG131" i="2" s="1"/>
  <c r="AF132" i="2"/>
  <c r="AG132" i="2" s="1"/>
  <c r="AF133" i="2"/>
  <c r="AE133" i="2" s="1"/>
  <c r="AF134" i="2"/>
  <c r="AE134" i="2" s="1"/>
  <c r="AF135" i="2"/>
  <c r="AH135" i="2" s="1"/>
  <c r="AF136" i="2"/>
  <c r="AH136" i="2" s="1"/>
  <c r="AF137" i="2"/>
  <c r="AH137" i="2" s="1"/>
  <c r="AF138" i="2"/>
  <c r="AG138" i="2" s="1"/>
  <c r="AF139" i="2"/>
  <c r="AG139" i="2" s="1"/>
  <c r="AF140" i="2"/>
  <c r="AE140" i="2" s="1"/>
  <c r="AF141" i="2"/>
  <c r="AE141" i="2" s="1"/>
  <c r="AF142" i="2"/>
  <c r="AH142" i="2" s="1"/>
  <c r="AF143" i="2"/>
  <c r="AG143" i="2" s="1"/>
  <c r="AF144" i="2"/>
  <c r="AH144" i="2" s="1"/>
  <c r="AF145" i="2"/>
  <c r="AH145" i="2" s="1"/>
  <c r="AF146" i="2"/>
  <c r="AG146" i="2" s="1"/>
  <c r="AF147" i="2"/>
  <c r="AG147" i="2" s="1"/>
  <c r="AF148" i="2"/>
  <c r="AE148" i="2" s="1"/>
  <c r="AF149" i="2"/>
  <c r="AE149" i="2" s="1"/>
  <c r="AF150" i="2"/>
  <c r="AE150" i="2" s="1"/>
  <c r="AF151" i="2"/>
  <c r="AG151" i="2" s="1"/>
  <c r="AF152" i="2"/>
  <c r="AE152" i="2" s="1"/>
  <c r="AF153" i="2"/>
  <c r="AE153" i="2" s="1"/>
  <c r="AF154" i="2"/>
  <c r="AE154" i="2" s="1"/>
  <c r="AF155" i="2"/>
  <c r="AG155" i="2" s="1"/>
  <c r="AF156" i="2"/>
  <c r="AG156" i="2" s="1"/>
  <c r="AF157" i="2"/>
  <c r="AE157" i="2" s="1"/>
  <c r="AF158" i="2"/>
  <c r="AE158" i="2" s="1"/>
  <c r="AF159" i="2"/>
  <c r="AG159" i="2" s="1"/>
  <c r="AF160" i="2"/>
  <c r="AH160" i="2" s="1"/>
  <c r="AF161" i="2"/>
  <c r="AG161" i="2" s="1"/>
  <c r="AF162" i="2"/>
  <c r="AG162" i="2" s="1"/>
  <c r="AF163" i="2"/>
  <c r="AG163" i="2" s="1"/>
  <c r="AF164" i="2"/>
  <c r="AE164" i="2" s="1"/>
  <c r="AF165" i="2"/>
  <c r="AE165" i="2" s="1"/>
  <c r="AF166" i="2"/>
  <c r="AH166" i="2" s="1"/>
  <c r="AF167" i="2"/>
  <c r="AG167" i="2" s="1"/>
  <c r="AF168" i="2"/>
  <c r="AH168" i="2" s="1"/>
  <c r="AF169" i="2"/>
  <c r="AH169" i="2" s="1"/>
  <c r="AF170" i="2"/>
  <c r="AG170" i="2" s="1"/>
  <c r="AF171" i="2"/>
  <c r="AG171" i="2" s="1"/>
  <c r="AF172" i="2"/>
  <c r="AE172" i="2" s="1"/>
  <c r="AF173" i="2"/>
  <c r="AE173" i="2" s="1"/>
  <c r="AF174" i="2"/>
  <c r="AE174" i="2" s="1"/>
  <c r="AF175" i="2"/>
  <c r="AG175" i="2" s="1"/>
  <c r="AF176" i="2"/>
  <c r="AE176" i="2" s="1"/>
  <c r="AF177" i="2"/>
  <c r="AE177" i="2" s="1"/>
  <c r="AF178" i="2"/>
  <c r="AG178" i="2" s="1"/>
  <c r="AF179" i="2"/>
  <c r="AG179" i="2" s="1"/>
  <c r="AF180" i="2"/>
  <c r="AG180" i="2" s="1"/>
  <c r="AF181" i="2"/>
  <c r="AE181" i="2" s="1"/>
  <c r="AF182" i="2"/>
  <c r="AE182" i="2" s="1"/>
  <c r="AF183" i="2"/>
  <c r="AG183" i="2" s="1"/>
  <c r="AF184" i="2"/>
  <c r="AH184" i="2" s="1"/>
  <c r="AF185" i="2"/>
  <c r="AE185" i="2" s="1"/>
  <c r="AF186" i="2"/>
  <c r="AG186" i="2" s="1"/>
  <c r="AF187" i="2"/>
  <c r="AG187" i="2" s="1"/>
  <c r="AF188" i="2"/>
  <c r="AE188" i="2" s="1"/>
  <c r="AF71" i="2"/>
  <c r="AE71" i="2" s="1"/>
  <c r="AE187" i="2" l="1"/>
  <c r="AE186" i="2"/>
  <c r="AE156" i="2"/>
  <c r="AE155" i="2"/>
  <c r="AG130" i="2"/>
  <c r="AE179" i="2"/>
  <c r="AG129" i="2"/>
  <c r="AG128" i="2"/>
  <c r="AE139" i="2"/>
  <c r="AG142" i="2"/>
  <c r="AG127" i="2"/>
  <c r="AH187" i="2"/>
  <c r="AE138" i="2"/>
  <c r="AG125" i="2"/>
  <c r="AG77" i="2"/>
  <c r="AH186" i="2"/>
  <c r="AE159" i="2"/>
  <c r="AG185" i="2"/>
  <c r="AE130" i="2"/>
  <c r="AG79" i="2"/>
  <c r="AE127" i="2"/>
  <c r="AE132" i="2"/>
  <c r="AE111" i="2"/>
  <c r="AG184" i="2"/>
  <c r="AE108" i="2"/>
  <c r="AG136" i="2"/>
  <c r="AG80" i="2"/>
  <c r="AE107" i="2"/>
  <c r="AH185" i="2"/>
  <c r="AE160" i="2"/>
  <c r="AG135" i="2"/>
  <c r="AE135" i="2"/>
  <c r="AE89" i="2"/>
  <c r="AH183" i="2"/>
  <c r="AG137" i="2"/>
  <c r="AE131" i="2"/>
  <c r="AE136" i="2"/>
  <c r="AE88" i="2"/>
  <c r="AE87" i="2"/>
  <c r="AE84" i="2"/>
  <c r="AE183" i="2"/>
  <c r="AE82" i="2"/>
  <c r="AH126" i="2"/>
  <c r="AE137" i="2"/>
  <c r="AH128" i="2"/>
  <c r="AE184" i="2"/>
  <c r="AE83" i="2"/>
  <c r="AE180" i="2"/>
  <c r="AE79" i="2"/>
  <c r="AH125" i="2"/>
  <c r="AH115" i="2"/>
  <c r="AH178" i="2"/>
  <c r="AH114" i="2"/>
  <c r="AH176" i="2"/>
  <c r="AH113" i="2"/>
  <c r="AE178" i="2"/>
  <c r="AE119" i="2"/>
  <c r="AG118" i="2"/>
  <c r="AH175" i="2"/>
  <c r="AH111" i="2"/>
  <c r="AE175" i="2"/>
  <c r="AE118" i="2"/>
  <c r="AG113" i="2"/>
  <c r="AH174" i="2"/>
  <c r="AH106" i="2"/>
  <c r="AE167" i="2"/>
  <c r="AE115" i="2"/>
  <c r="AG177" i="2"/>
  <c r="AG112" i="2"/>
  <c r="AH173" i="2"/>
  <c r="AH104" i="2"/>
  <c r="AE166" i="2"/>
  <c r="AE114" i="2"/>
  <c r="AG176" i="2"/>
  <c r="AH163" i="2"/>
  <c r="AH103" i="2"/>
  <c r="AE163" i="2"/>
  <c r="AG106" i="2"/>
  <c r="AH162" i="2"/>
  <c r="AH102" i="2"/>
  <c r="AE162" i="2"/>
  <c r="AE112" i="2"/>
  <c r="AG173" i="2"/>
  <c r="AG105" i="2"/>
  <c r="AH161" i="2"/>
  <c r="AH101" i="2"/>
  <c r="AE161" i="2"/>
  <c r="AG166" i="2"/>
  <c r="AG104" i="2"/>
  <c r="AH159" i="2"/>
  <c r="AH91" i="2"/>
  <c r="AG103" i="2"/>
  <c r="AH154" i="2"/>
  <c r="AH90" i="2"/>
  <c r="AG160" i="2"/>
  <c r="AG101" i="2"/>
  <c r="AH152" i="2"/>
  <c r="AH89" i="2"/>
  <c r="AG94" i="2"/>
  <c r="AH151" i="2"/>
  <c r="AH87" i="2"/>
  <c r="AG154" i="2"/>
  <c r="AH150" i="2"/>
  <c r="AH82" i="2"/>
  <c r="AE95" i="2"/>
  <c r="AG153" i="2"/>
  <c r="AG88" i="2"/>
  <c r="AH149" i="2"/>
  <c r="AH80" i="2"/>
  <c r="AE151" i="2"/>
  <c r="AE94" i="2"/>
  <c r="AG152" i="2"/>
  <c r="AH139" i="2"/>
  <c r="AE143" i="2"/>
  <c r="AE91" i="2"/>
  <c r="AH138" i="2"/>
  <c r="AH78" i="2"/>
  <c r="AE142" i="2"/>
  <c r="AE90" i="2"/>
  <c r="AG149" i="2"/>
  <c r="AG81" i="2"/>
  <c r="AH77" i="2"/>
  <c r="AE171" i="2"/>
  <c r="AE147" i="2"/>
  <c r="AE123" i="2"/>
  <c r="AE99" i="2"/>
  <c r="AE75" i="2"/>
  <c r="AG169" i="2"/>
  <c r="AG145" i="2"/>
  <c r="AG121" i="2"/>
  <c r="AG97" i="2"/>
  <c r="AG73" i="2"/>
  <c r="AH167" i="2"/>
  <c r="AH143" i="2"/>
  <c r="AH119" i="2"/>
  <c r="AH95" i="2"/>
  <c r="AE170" i="2"/>
  <c r="AE146" i="2"/>
  <c r="AE122" i="2"/>
  <c r="AE98" i="2"/>
  <c r="AE74" i="2"/>
  <c r="AG168" i="2"/>
  <c r="AG144" i="2"/>
  <c r="AG120" i="2"/>
  <c r="AG96" i="2"/>
  <c r="AG72" i="2"/>
  <c r="AE169" i="2"/>
  <c r="AE145" i="2"/>
  <c r="AE121" i="2"/>
  <c r="AE97" i="2"/>
  <c r="AE73" i="2"/>
  <c r="AH71" i="2"/>
  <c r="AH165" i="2"/>
  <c r="AH141" i="2"/>
  <c r="AH117" i="2"/>
  <c r="AH93" i="2"/>
  <c r="AE168" i="2"/>
  <c r="AE144" i="2"/>
  <c r="AE120" i="2"/>
  <c r="AE96" i="2"/>
  <c r="AE72" i="2"/>
  <c r="AH188" i="2"/>
  <c r="AH164" i="2"/>
  <c r="AH140" i="2"/>
  <c r="AH116" i="2"/>
  <c r="AH92" i="2"/>
  <c r="AG71" i="2"/>
  <c r="AG165" i="2"/>
  <c r="AG141" i="2"/>
  <c r="AG117" i="2"/>
  <c r="AG93" i="2"/>
  <c r="AG188" i="2"/>
  <c r="AG164" i="2"/>
  <c r="AG140" i="2"/>
  <c r="AG116" i="2"/>
  <c r="AG92" i="2"/>
  <c r="AH110" i="2"/>
  <c r="AH109" i="2"/>
  <c r="AG182" i="2"/>
  <c r="AG158" i="2"/>
  <c r="AG134" i="2"/>
  <c r="AG110" i="2"/>
  <c r="AG86" i="2"/>
  <c r="AH180" i="2"/>
  <c r="AH156" i="2"/>
  <c r="AH132" i="2"/>
  <c r="AH108" i="2"/>
  <c r="AH84" i="2"/>
  <c r="AG181" i="2"/>
  <c r="AG157" i="2"/>
  <c r="AG133" i="2"/>
  <c r="AG109" i="2"/>
  <c r="AG85" i="2"/>
  <c r="AH179" i="2"/>
  <c r="AH155" i="2"/>
  <c r="AH131" i="2"/>
  <c r="AH107" i="2"/>
  <c r="AH83" i="2"/>
  <c r="AH182" i="2"/>
  <c r="AH158" i="2"/>
  <c r="AH134" i="2"/>
  <c r="AH86" i="2"/>
  <c r="AH181" i="2"/>
  <c r="AH157" i="2"/>
  <c r="AH133" i="2"/>
  <c r="AH85" i="2"/>
  <c r="AH177" i="2"/>
  <c r="AH153" i="2"/>
  <c r="AH129" i="2"/>
  <c r="AH105" i="2"/>
  <c r="AH81" i="2"/>
  <c r="AG174" i="2"/>
  <c r="AG150" i="2"/>
  <c r="AG126" i="2"/>
  <c r="AG102" i="2"/>
  <c r="AG78" i="2"/>
  <c r="AH172" i="2"/>
  <c r="AH148" i="2"/>
  <c r="AH124" i="2"/>
  <c r="AH100" i="2"/>
  <c r="AH76" i="2"/>
  <c r="AH171" i="2"/>
  <c r="AH147" i="2"/>
  <c r="AH123" i="2"/>
  <c r="AH99" i="2"/>
  <c r="AH75" i="2"/>
  <c r="AG172" i="2"/>
  <c r="AG148" i="2"/>
  <c r="AG124" i="2"/>
  <c r="AG100" i="2"/>
  <c r="AG76" i="2"/>
  <c r="AH170" i="2"/>
  <c r="AH146" i="2"/>
  <c r="AH122" i="2"/>
  <c r="AH98" i="2"/>
  <c r="AH74" i="2"/>
</calcChain>
</file>

<file path=xl/sharedStrings.xml><?xml version="1.0" encoding="utf-8"?>
<sst xmlns="http://schemas.openxmlformats.org/spreadsheetml/2006/main" count="239" uniqueCount="37">
  <si>
    <t>servicing_transfer_duration</t>
  </si>
  <si>
    <t>pre_fc_duration</t>
  </si>
  <si>
    <t>fc_duration_state_avg</t>
  </si>
  <si>
    <t>dil_duration</t>
  </si>
  <si>
    <t>renovation_duration</t>
  </si>
  <si>
    <t>reo_marketing_duration</t>
  </si>
  <si>
    <t>fc_legal_fees</t>
  </si>
  <si>
    <t>dil_fees</t>
  </si>
  <si>
    <t>reconciled_rehab_cost</t>
  </si>
  <si>
    <t>total_insurance</t>
  </si>
  <si>
    <t>total_property_tax</t>
  </si>
  <si>
    <t>total_hoa</t>
  </si>
  <si>
    <t>total_utility</t>
  </si>
  <si>
    <t>acq_costs</t>
  </si>
  <si>
    <t>broker_fees</t>
  </si>
  <si>
    <t>servicing_fc</t>
  </si>
  <si>
    <t>servicing_liq_fee</t>
  </si>
  <si>
    <t>expected_exit_date</t>
  </si>
  <si>
    <t>expected_gross_proceeds</t>
  </si>
  <si>
    <t>expected_net_proceeds</t>
  </si>
  <si>
    <t>expected_pl</t>
  </si>
  <si>
    <t>expected_irr</t>
  </si>
  <si>
    <t>expected_moic</t>
  </si>
  <si>
    <t>expected_pv</t>
  </si>
  <si>
    <t>outcome_dil_asis</t>
  </si>
  <si>
    <t>outcome_dil_arv</t>
  </si>
  <si>
    <t>outcome_reo_asis</t>
  </si>
  <si>
    <t>outcome_reo_arv</t>
  </si>
  <si>
    <t>bid_pct_upb</t>
  </si>
  <si>
    <t>bid_pct_td</t>
  </si>
  <si>
    <t>bid_pct_sellerasis</t>
  </si>
  <si>
    <t>purchase_price</t>
  </si>
  <si>
    <t>trashout_cost</t>
  </si>
  <si>
    <t>purchase_date</t>
  </si>
  <si>
    <t>am_liq_fees</t>
  </si>
  <si>
    <t/>
  </si>
  <si>
    <t>assetidhub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</si>
</sst>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6" formatCode="0.0"/>
    <numFmt numFmtId="167" formatCode="mm/yyyy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</font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</cellStyleXfs>
  <cellXfs count="18">
    <xf numFmtId="0" fontId="0" fillId="0" borderId="0" xfId="0"/>
    <xf numFmtId="164" fontId="2" fillId="0" borderId="0" xfId="1" applyNumberFormat="1" applyFont="1" applyFill="1" applyBorder="1"/>
    <xf numFmtId="41" fontId="2" fillId="0" borderId="0" xfId="1" applyNumberFormat="1" applyFont="1" applyFill="1" applyBorder="1"/>
    <xf numFmtId="41" fontId="2" fillId="0" borderId="0" xfId="0" applyNumberFormat="1" applyFont="1"/>
    <xf numFmtId="43" fontId="2" fillId="0" borderId="0" xfId="1" applyFont="1" applyFill="1" applyBorder="1"/>
    <xf numFmtId="167" fontId="2" fillId="0" borderId="0" xfId="1" applyNumberFormat="1" applyFont="1" applyFill="1" applyBorder="1"/>
    <xf numFmtId="14" fontId="0" fillId="0" borderId="0" xfId="0" applyNumberFormat="1"/>
    <xf numFmtId="164" fontId="4" fillId="0" borderId="0" xfId="1" applyNumberFormat="1" applyFont="1"/>
    <xf numFmtId="164" fontId="0" fillId="0" borderId="0" xfId="0" applyNumberFormat="1"/>
    <xf numFmtId="166" fontId="0" fillId="0" borderId="0" xfId="0" applyNumberFormat="1"/>
    <xf numFmtId="43" fontId="4" fillId="0" borderId="0" xfId="1" applyFont="1"/>
    <xf numFmtId="43" fontId="0" fillId="0" borderId="0" xfId="0" applyNumberFormat="1"/>
    <xf numFmtId="14" fontId="2" fillId="0" borderId="0" xfId="1" applyNumberFormat="1" applyFont="1" applyFill="1" applyBorder="1"/>
    <xf numFmtId="9" fontId="2" fillId="0" borderId="0" xfId="2" applyFont="1" applyFill="1" applyBorder="1"/>
    <xf numFmtId="9" fontId="0" fillId="0" borderId="0" xfId="2" applyFont="1"/>
    <xf numFmtId="14" fontId="4" fillId="0" borderId="0" xfId="1" applyNumberFormat="1" applyFont="1"/>
    <xf numFmtId="43" fontId="2" fillId="0" borderId="0" xfId="1" applyFont="1"/>
    <xf numFmtId="43" fontId="0" fillId="0" borderId="0" xfId="1" applyFont="1"/>
  </cellXfs>
  <cellStyles count="4">
    <cellStyle name="Comma" xfId="1" builtinId="3"/>
    <cellStyle name="Normal" xfId="0" builtinId="0"/>
    <cellStyle name="Normal 3" xfId="3" xr:uid="{56CEFEF6-346E-4B05-990B-B8D2B5F6237F}"/>
    <cellStyle name="Percent" xfId="2" builtinId="5"/>
  </cellStyles>
  <dxfs count="1">
    <dxf>
      <font>
        <color rgb="FFE9713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EF3AB-F992-487E-89DA-FAE47830F919}">
  <dimension ref="A1:AJ202"/>
  <sheetViews>
    <sheetView tabSelected="1" workbookViewId="0">
      <pane ySplit="1" topLeftCell="A155" activePane="bottomLeft" state="frozen"/>
      <selection pane="bottomLeft" activeCell="A202" sqref="A202"/>
    </sheetView>
  </sheetViews>
  <sheetFormatPr defaultRowHeight="15" x14ac:dyDescent="0.25"/>
  <cols>
    <col min="2" max="2" width="16.42578125" customWidth="1"/>
    <col min="3" max="3" width="31.85546875" bestFit="1" customWidth="1"/>
    <col min="4" max="4" width="29" bestFit="1" customWidth="1"/>
    <col min="5" max="5" width="28" bestFit="1" customWidth="1"/>
    <col min="6" max="6" width="30.42578125" bestFit="1" customWidth="1"/>
    <col min="7" max="7" width="15.42578125" bestFit="1" customWidth="1"/>
    <col min="8" max="8" width="21.140625" bestFit="1" customWidth="1"/>
    <col min="9" max="9" width="16.7109375" bestFit="1" customWidth="1"/>
    <col min="10" max="10" width="14.85546875" bestFit="1" customWidth="1"/>
    <col min="11" max="11" width="9.28515625" bestFit="1" customWidth="1"/>
    <col min="12" max="12" width="10.7109375" bestFit="1" customWidth="1"/>
    <col min="13" max="13" width="11.85546875" bestFit="1" customWidth="1"/>
    <col min="14" max="14" width="11.85546875" customWidth="1"/>
    <col min="15" max="15" width="10.140625" customWidth="1"/>
    <col min="16" max="17" width="12.140625" bestFit="1" customWidth="1"/>
    <col min="18" max="18" width="12.28515625" bestFit="1" customWidth="1"/>
    <col min="19" max="19" width="13.140625" bestFit="1" customWidth="1"/>
    <col min="20" max="20" width="15.5703125" bestFit="1" customWidth="1"/>
    <col min="21" max="21" width="23.85546875" bestFit="1" customWidth="1"/>
    <col min="22" max="22" width="14.7109375" bestFit="1" customWidth="1"/>
    <col min="23" max="23" width="20" bestFit="1" customWidth="1"/>
    <col min="24" max="24" width="12" bestFit="1" customWidth="1"/>
    <col min="25" max="25" width="17" bestFit="1" customWidth="1"/>
    <col min="26" max="26" width="17.5703125" bestFit="1" customWidth="1"/>
    <col min="27" max="27" width="17.5703125" customWidth="1"/>
    <col min="28" max="28" width="23.28515625" bestFit="1" customWidth="1"/>
    <col min="29" max="29" width="18.140625" bestFit="1" customWidth="1"/>
    <col min="30" max="30" width="20.28515625" bestFit="1" customWidth="1"/>
    <col min="31" max="31" width="16.5703125" bestFit="1" customWidth="1"/>
    <col min="32" max="33" width="16.5703125" customWidth="1"/>
    <col min="34" max="34" width="17.28515625" bestFit="1" customWidth="1"/>
    <col min="35" max="35" width="14.140625" bestFit="1" customWidth="1"/>
    <col min="36" max="37" width="12" bestFit="1" customWidth="1"/>
  </cols>
  <sheetData>
    <row r="1" spans="1:36" x14ac:dyDescent="0.25">
      <c r="A1" t="s">
        <v>36</v>
      </c>
      <c r="B1" t="s">
        <v>0</v>
      </c>
      <c r="C1" t="s">
        <v>1</v>
      </c>
      <c r="D1" t="s">
        <v>2</v>
      </c>
      <c r="E1" t="s">
        <v>4</v>
      </c>
      <c r="F1" t="s">
        <v>5</v>
      </c>
      <c r="G1" t="s">
        <v>3</v>
      </c>
      <c r="H1" t="s">
        <v>8</v>
      </c>
      <c r="I1" t="s">
        <v>10</v>
      </c>
      <c r="J1" t="s">
        <v>9</v>
      </c>
      <c r="K1" t="s">
        <v>11</v>
      </c>
      <c r="L1" t="s">
        <v>12</v>
      </c>
      <c r="M1" t="s">
        <v>14</v>
      </c>
      <c r="N1" t="s">
        <v>34</v>
      </c>
      <c r="O1" t="s">
        <v>32</v>
      </c>
      <c r="P1" t="s">
        <v>6</v>
      </c>
      <c r="Q1" t="s">
        <v>7</v>
      </c>
      <c r="R1" t="s">
        <v>13</v>
      </c>
      <c r="S1" t="s">
        <v>15</v>
      </c>
      <c r="T1" t="s">
        <v>16</v>
      </c>
      <c r="U1" t="s">
        <v>18</v>
      </c>
      <c r="V1" t="s">
        <v>31</v>
      </c>
      <c r="W1" t="s">
        <v>28</v>
      </c>
      <c r="X1" t="s">
        <v>29</v>
      </c>
      <c r="Y1" t="s">
        <v>30</v>
      </c>
      <c r="Z1" t="s">
        <v>17</v>
      </c>
      <c r="AA1" t="s">
        <v>19</v>
      </c>
      <c r="AB1" t="s">
        <v>20</v>
      </c>
      <c r="AC1" t="s">
        <v>22</v>
      </c>
      <c r="AD1" t="s">
        <v>21</v>
      </c>
      <c r="AE1" t="s">
        <v>24</v>
      </c>
      <c r="AF1" t="s">
        <v>25</v>
      </c>
      <c r="AG1" t="s">
        <v>27</v>
      </c>
      <c r="AH1" t="s">
        <v>26</v>
      </c>
      <c r="AI1" t="s">
        <v>33</v>
      </c>
      <c r="AJ1" t="s">
        <v>23</v>
      </c>
    </row>
    <row r="2" spans="1:36" ht="15.75" x14ac:dyDescent="0.25">
      <c r="A2">
        <v>1078</v>
      </c>
      <c r="B2">
        <v>0</v>
      </c>
      <c r="C2" s="1">
        <v>3</v>
      </c>
      <c r="D2" s="2">
        <v>9.9016666666666673</v>
      </c>
      <c r="E2" s="3">
        <v>4</v>
      </c>
      <c r="F2" s="3">
        <v>4</v>
      </c>
      <c r="G2" s="3">
        <v>2.4499999999999997</v>
      </c>
      <c r="H2" s="1">
        <v>30000</v>
      </c>
      <c r="I2" s="1">
        <v>7593.5316527777795</v>
      </c>
      <c r="J2" s="1">
        <v>2787.7083333333335</v>
      </c>
      <c r="K2" s="1">
        <v>0</v>
      </c>
      <c r="L2" s="1">
        <v>2230.166666666667</v>
      </c>
      <c r="M2" s="1">
        <v>43600</v>
      </c>
      <c r="N2" s="1">
        <f>0.015*U2</f>
        <v>8175</v>
      </c>
      <c r="P2" s="1">
        <v>2600</v>
      </c>
      <c r="Q2" s="1">
        <v>3500</v>
      </c>
      <c r="R2" s="1">
        <v>2436.1799999999998</v>
      </c>
      <c r="S2" s="1">
        <v>1016.5916666666668</v>
      </c>
      <c r="T2" s="1"/>
      <c r="U2" s="1">
        <v>545000</v>
      </c>
      <c r="V2" s="4">
        <v>338374.56619999994</v>
      </c>
      <c r="W2" s="13">
        <v>1.4409709663407486</v>
      </c>
      <c r="X2" s="13">
        <v>0.82</v>
      </c>
      <c r="Y2" s="13">
        <v>0.75361818752783949</v>
      </c>
      <c r="Z2" s="12">
        <v>46313</v>
      </c>
      <c r="AA2" s="5"/>
      <c r="AB2" s="1">
        <v>109361.25548055564</v>
      </c>
      <c r="AC2" s="16">
        <v>1.2510365683869389</v>
      </c>
      <c r="AD2" s="13">
        <v>0.12807686230489002</v>
      </c>
      <c r="AE2" s="14">
        <v>0.35</v>
      </c>
      <c r="AF2" s="14">
        <v>0</v>
      </c>
      <c r="AG2" s="14">
        <v>0</v>
      </c>
      <c r="AH2" s="14">
        <v>0.65</v>
      </c>
      <c r="AI2" s="6">
        <v>45644</v>
      </c>
    </row>
    <row r="3" spans="1:36" ht="15.75" x14ac:dyDescent="0.25">
      <c r="A3">
        <v>1104</v>
      </c>
      <c r="B3">
        <v>0</v>
      </c>
      <c r="C3" s="1">
        <v>3</v>
      </c>
      <c r="D3" s="2">
        <v>9.9016666666666673</v>
      </c>
      <c r="E3" s="3">
        <v>4</v>
      </c>
      <c r="F3" s="3">
        <v>4</v>
      </c>
      <c r="G3" s="3">
        <v>2.4499999999999997</v>
      </c>
      <c r="H3" s="1">
        <v>125000</v>
      </c>
      <c r="I3" s="1">
        <v>6426.5969444444454</v>
      </c>
      <c r="J3" s="1">
        <v>2787.7083333333335</v>
      </c>
      <c r="K3" s="1">
        <v>0</v>
      </c>
      <c r="L3" s="1">
        <v>2230.166666666667</v>
      </c>
      <c r="M3" s="1">
        <v>52000</v>
      </c>
      <c r="N3" s="1">
        <f t="shared" ref="N3:N66" si="0">0.015*U3</f>
        <v>9750</v>
      </c>
      <c r="P3" s="1">
        <v>2600</v>
      </c>
      <c r="Q3" s="1">
        <v>3500</v>
      </c>
      <c r="R3" s="1">
        <v>2736.7204499999998</v>
      </c>
      <c r="S3" s="1">
        <v>1016.5916666666668</v>
      </c>
      <c r="T3" s="1"/>
      <c r="U3" s="1">
        <v>650000</v>
      </c>
      <c r="V3" s="4">
        <v>300136.18</v>
      </c>
      <c r="W3" s="13">
        <v>1.0918169580167865</v>
      </c>
      <c r="X3" s="13">
        <v>0.45081497100862655</v>
      </c>
      <c r="Y3" s="13">
        <v>0.78983205263157896</v>
      </c>
      <c r="Z3" s="12">
        <v>46313</v>
      </c>
      <c r="AA3" s="5"/>
      <c r="AB3" s="1">
        <v>150046.0359388889</v>
      </c>
      <c r="AC3" s="16">
        <v>1.3001197044625257</v>
      </c>
      <c r="AD3" s="13">
        <v>0.15167978226474887</v>
      </c>
      <c r="AE3" s="14">
        <v>0.35</v>
      </c>
      <c r="AF3" s="14">
        <v>0</v>
      </c>
      <c r="AG3" s="14">
        <v>0</v>
      </c>
      <c r="AH3" s="14">
        <v>0.65</v>
      </c>
      <c r="AI3" s="6">
        <v>45644</v>
      </c>
    </row>
    <row r="4" spans="1:36" ht="15.75" x14ac:dyDescent="0.25">
      <c r="A4">
        <v>1118</v>
      </c>
      <c r="B4">
        <v>0</v>
      </c>
      <c r="C4" s="1">
        <v>3</v>
      </c>
      <c r="D4" s="2">
        <v>7.8000000000000007</v>
      </c>
      <c r="E4" s="3"/>
      <c r="F4" s="3">
        <v>4</v>
      </c>
      <c r="G4" s="3">
        <v>2.4499999999999997</v>
      </c>
      <c r="H4" s="1">
        <v>0</v>
      </c>
      <c r="I4" s="1">
        <v>6597.0449999999992</v>
      </c>
      <c r="J4" s="1">
        <v>2025</v>
      </c>
      <c r="K4" s="1">
        <v>0</v>
      </c>
      <c r="L4" s="1">
        <v>3564</v>
      </c>
      <c r="M4" s="1">
        <v>26000</v>
      </c>
      <c r="N4" s="1">
        <f t="shared" si="0"/>
        <v>4875</v>
      </c>
      <c r="P4" s="1">
        <v>2925</v>
      </c>
      <c r="Q4" s="1">
        <v>3500</v>
      </c>
      <c r="R4" s="1">
        <v>2527.8004499999997</v>
      </c>
      <c r="S4" s="1">
        <v>901</v>
      </c>
      <c r="T4" s="1"/>
      <c r="U4" s="1">
        <v>325000</v>
      </c>
      <c r="V4" s="4">
        <v>201665</v>
      </c>
      <c r="W4" s="13">
        <v>0.81632509318529145</v>
      </c>
      <c r="X4" s="13">
        <v>0.41855032299449452</v>
      </c>
      <c r="Y4" s="13">
        <v>0.73869963369963365</v>
      </c>
      <c r="Z4" s="12">
        <v>46130</v>
      </c>
      <c r="AA4" s="5"/>
      <c r="AB4" s="1">
        <v>73760.154550000007</v>
      </c>
      <c r="AC4" s="16">
        <v>1.2935846199789167</v>
      </c>
      <c r="AD4" s="13">
        <v>0.21007139606874459</v>
      </c>
      <c r="AE4" s="14">
        <v>0.35</v>
      </c>
      <c r="AF4" s="14">
        <v>0</v>
      </c>
      <c r="AG4" s="14">
        <v>0</v>
      </c>
      <c r="AH4" s="14">
        <v>0.65</v>
      </c>
      <c r="AI4" s="6">
        <v>45644</v>
      </c>
    </row>
    <row r="5" spans="1:36" ht="15.75" x14ac:dyDescent="0.25">
      <c r="A5">
        <v>1132</v>
      </c>
      <c r="B5">
        <v>0</v>
      </c>
      <c r="C5" s="1">
        <v>3</v>
      </c>
      <c r="D5" s="2">
        <v>7.8000000000000007</v>
      </c>
      <c r="E5" s="3"/>
      <c r="F5" s="3">
        <v>4</v>
      </c>
      <c r="G5" s="3">
        <v>2.4499999999999997</v>
      </c>
      <c r="H5" s="1">
        <v>0</v>
      </c>
      <c r="I5" s="1">
        <v>8578.5749999999989</v>
      </c>
      <c r="J5" s="1">
        <v>2025</v>
      </c>
      <c r="K5" s="1">
        <v>0</v>
      </c>
      <c r="L5" s="1">
        <v>3564</v>
      </c>
      <c r="M5" s="1">
        <v>32000</v>
      </c>
      <c r="N5" s="1">
        <f t="shared" si="0"/>
        <v>6000</v>
      </c>
      <c r="P5" s="1">
        <v>2925</v>
      </c>
      <c r="Q5" s="1">
        <v>3500</v>
      </c>
      <c r="R5" s="1">
        <v>2570.1466499999997</v>
      </c>
      <c r="S5" s="1">
        <v>901</v>
      </c>
      <c r="T5" s="1"/>
      <c r="U5" s="1">
        <v>400000</v>
      </c>
      <c r="V5" s="4">
        <v>274045</v>
      </c>
      <c r="W5" s="13">
        <v>1.0845268887238884</v>
      </c>
      <c r="X5" s="13">
        <v>0.53712148512204161</v>
      </c>
      <c r="Y5" s="13">
        <v>0.77195774647887327</v>
      </c>
      <c r="Z5" s="12">
        <v>46130</v>
      </c>
      <c r="AA5" s="5"/>
      <c r="AB5" s="1">
        <v>68346.278349999979</v>
      </c>
      <c r="AC5" s="16">
        <v>1.2060772241902564</v>
      </c>
      <c r="AD5" s="13">
        <v>0.1488884512267421</v>
      </c>
      <c r="AE5" s="14">
        <v>0.35</v>
      </c>
      <c r="AF5" s="14">
        <v>0</v>
      </c>
      <c r="AG5" s="14">
        <v>0</v>
      </c>
      <c r="AH5" s="14">
        <v>0.65</v>
      </c>
      <c r="AI5" s="6">
        <v>45644</v>
      </c>
    </row>
    <row r="6" spans="1:36" ht="15.75" x14ac:dyDescent="0.25">
      <c r="A6">
        <v>1097</v>
      </c>
      <c r="B6">
        <v>0</v>
      </c>
      <c r="C6" s="1">
        <v>3</v>
      </c>
      <c r="D6" s="2">
        <v>7.8000000000000007</v>
      </c>
      <c r="E6" s="3"/>
      <c r="F6" s="3">
        <v>4</v>
      </c>
      <c r="G6" s="3">
        <v>2.4499999999999997</v>
      </c>
      <c r="H6" s="1">
        <v>0</v>
      </c>
      <c r="I6" s="1">
        <v>6452.0549999999994</v>
      </c>
      <c r="J6" s="1">
        <v>2025</v>
      </c>
      <c r="K6" s="1">
        <v>0</v>
      </c>
      <c r="L6" s="1">
        <v>3564</v>
      </c>
      <c r="M6" s="1">
        <v>25200</v>
      </c>
      <c r="N6" s="1">
        <f t="shared" si="0"/>
        <v>4725</v>
      </c>
      <c r="P6" s="1">
        <v>2925</v>
      </c>
      <c r="Q6" s="1">
        <v>3500</v>
      </c>
      <c r="R6" s="1">
        <v>2329.332375</v>
      </c>
      <c r="S6" s="1">
        <v>901</v>
      </c>
      <c r="T6" s="1"/>
      <c r="U6" s="1">
        <v>315000</v>
      </c>
      <c r="V6" s="4">
        <v>195082.00000000003</v>
      </c>
      <c r="W6" s="13">
        <v>0.88441417342146877</v>
      </c>
      <c r="X6" s="13">
        <v>0.50493227951240427</v>
      </c>
      <c r="Y6" s="13">
        <v>0.7306441947565544</v>
      </c>
      <c r="Z6" s="12">
        <v>46130</v>
      </c>
      <c r="AA6" s="5"/>
      <c r="AB6" s="1">
        <v>71466.61262499998</v>
      </c>
      <c r="AC6" s="16">
        <v>1.2934571452207231</v>
      </c>
      <c r="AD6" s="13">
        <v>0.20998306527602573</v>
      </c>
      <c r="AE6" s="14">
        <v>0.35</v>
      </c>
      <c r="AF6" s="14">
        <v>0</v>
      </c>
      <c r="AG6" s="14">
        <v>0</v>
      </c>
      <c r="AH6" s="14">
        <v>0.65</v>
      </c>
      <c r="AI6" s="6">
        <v>45644</v>
      </c>
    </row>
    <row r="7" spans="1:36" ht="15.75" x14ac:dyDescent="0.25">
      <c r="A7">
        <v>1072</v>
      </c>
      <c r="B7">
        <v>0</v>
      </c>
      <c r="C7" s="1">
        <v>3</v>
      </c>
      <c r="D7" s="2">
        <v>7.8000000000000007</v>
      </c>
      <c r="E7" s="3"/>
      <c r="F7" s="3">
        <v>4</v>
      </c>
      <c r="G7" s="3">
        <v>2.4499999999999997</v>
      </c>
      <c r="H7" s="1">
        <v>0</v>
      </c>
      <c r="I7" s="1">
        <v>4953.8249999999998</v>
      </c>
      <c r="J7" s="1">
        <v>2025</v>
      </c>
      <c r="K7" s="1">
        <v>0</v>
      </c>
      <c r="L7" s="1">
        <v>3564</v>
      </c>
      <c r="M7" s="1">
        <v>27200</v>
      </c>
      <c r="N7" s="1">
        <f t="shared" si="0"/>
        <v>5100</v>
      </c>
      <c r="P7" s="1">
        <v>2925</v>
      </c>
      <c r="Q7" s="1">
        <v>3500</v>
      </c>
      <c r="R7" s="1">
        <v>2340.4447499999997</v>
      </c>
      <c r="S7" s="1">
        <v>901</v>
      </c>
      <c r="T7" s="1"/>
      <c r="U7" s="1">
        <v>340000</v>
      </c>
      <c r="V7" s="4">
        <v>170365</v>
      </c>
      <c r="W7" s="13">
        <v>0.76720497632839524</v>
      </c>
      <c r="X7" s="13">
        <v>0.2599314637787149</v>
      </c>
      <c r="Y7" s="13">
        <v>0.83104878048780484</v>
      </c>
      <c r="Z7" s="12">
        <v>46130</v>
      </c>
      <c r="AA7" s="5"/>
      <c r="AB7" s="1">
        <v>120635.73024999999</v>
      </c>
      <c r="AC7" s="16">
        <v>1.5499333614698663</v>
      </c>
      <c r="AD7" s="13">
        <v>0.38347912988192667</v>
      </c>
      <c r="AE7" s="14">
        <v>0.35</v>
      </c>
      <c r="AF7" s="14">
        <v>0</v>
      </c>
      <c r="AG7" s="14">
        <v>0</v>
      </c>
      <c r="AH7" s="14">
        <v>0.65</v>
      </c>
      <c r="AI7" s="6">
        <v>45644</v>
      </c>
    </row>
    <row r="8" spans="1:36" ht="15.75" x14ac:dyDescent="0.25">
      <c r="A8">
        <v>1124</v>
      </c>
      <c r="B8">
        <v>0</v>
      </c>
      <c r="C8" s="1">
        <v>3</v>
      </c>
      <c r="D8" s="2">
        <v>7.8000000000000007</v>
      </c>
      <c r="E8" s="3"/>
      <c r="F8" s="3">
        <v>4</v>
      </c>
      <c r="G8" s="3">
        <v>2.4499999999999997</v>
      </c>
      <c r="H8" s="1">
        <v>0</v>
      </c>
      <c r="I8" s="1">
        <v>6935.3549999999996</v>
      </c>
      <c r="J8" s="1">
        <v>2025</v>
      </c>
      <c r="K8" s="1">
        <v>0</v>
      </c>
      <c r="L8" s="1">
        <v>3564</v>
      </c>
      <c r="M8" s="1">
        <v>26400</v>
      </c>
      <c r="N8" s="1">
        <f t="shared" si="0"/>
        <v>4950</v>
      </c>
      <c r="P8" s="1">
        <v>2925</v>
      </c>
      <c r="Q8" s="1">
        <v>3500</v>
      </c>
      <c r="R8" s="1">
        <v>2321.9100749999998</v>
      </c>
      <c r="S8" s="1">
        <v>901</v>
      </c>
      <c r="T8" s="1"/>
      <c r="U8" s="1">
        <v>330000</v>
      </c>
      <c r="V8" s="4">
        <v>204996</v>
      </c>
      <c r="W8" s="13">
        <v>0.93354823881322113</v>
      </c>
      <c r="X8" s="13">
        <v>0.42106267241697504</v>
      </c>
      <c r="Y8" s="13">
        <v>0.71427177700348432</v>
      </c>
      <c r="Z8" s="12">
        <v>46130</v>
      </c>
      <c r="AA8" s="5"/>
      <c r="AB8" s="1">
        <v>74861.734924999997</v>
      </c>
      <c r="AC8" s="16">
        <v>1.2934163360521158</v>
      </c>
      <c r="AD8" s="13">
        <v>0.20995478699522718</v>
      </c>
      <c r="AE8" s="14">
        <v>0.35</v>
      </c>
      <c r="AF8" s="14">
        <v>0</v>
      </c>
      <c r="AG8" s="14">
        <v>0</v>
      </c>
      <c r="AH8" s="14">
        <v>0.65</v>
      </c>
      <c r="AI8" s="6">
        <v>45644</v>
      </c>
    </row>
    <row r="9" spans="1:36" ht="15.75" x14ac:dyDescent="0.25">
      <c r="A9">
        <v>1115</v>
      </c>
      <c r="B9">
        <v>0</v>
      </c>
      <c r="C9" s="1">
        <v>3</v>
      </c>
      <c r="D9" s="2">
        <v>7.8000000000000007</v>
      </c>
      <c r="E9" s="3"/>
      <c r="F9" s="3">
        <v>4</v>
      </c>
      <c r="G9" s="3">
        <v>2.4499999999999997</v>
      </c>
      <c r="H9" s="1">
        <v>0</v>
      </c>
      <c r="I9" s="1">
        <v>7998.6149999999989</v>
      </c>
      <c r="J9" s="1">
        <v>2025</v>
      </c>
      <c r="K9" s="1">
        <v>0</v>
      </c>
      <c r="L9" s="1">
        <v>3564</v>
      </c>
      <c r="M9" s="1">
        <v>32000</v>
      </c>
      <c r="N9" s="1">
        <f t="shared" si="0"/>
        <v>6000</v>
      </c>
      <c r="P9" s="1">
        <v>2925</v>
      </c>
      <c r="Q9" s="1">
        <v>3500</v>
      </c>
      <c r="R9" s="1">
        <v>2717.4033749999999</v>
      </c>
      <c r="S9" s="1">
        <v>901</v>
      </c>
      <c r="T9" s="1"/>
      <c r="U9" s="1">
        <v>400000</v>
      </c>
      <c r="V9" s="4">
        <v>272180</v>
      </c>
      <c r="W9" s="13">
        <v>0.99948424732700014</v>
      </c>
      <c r="X9" s="13">
        <v>0.4313753980927052</v>
      </c>
      <c r="Y9" s="13">
        <v>0.82229607250755288</v>
      </c>
      <c r="Z9" s="12">
        <v>46130</v>
      </c>
      <c r="AA9" s="5"/>
      <c r="AB9" s="1">
        <v>70638.981625000015</v>
      </c>
      <c r="AC9" s="16">
        <v>1.2144728054750327</v>
      </c>
      <c r="AD9" s="13">
        <v>0.15480718525700765</v>
      </c>
      <c r="AE9" s="14">
        <v>0.35</v>
      </c>
      <c r="AF9" s="14">
        <v>0</v>
      </c>
      <c r="AG9" s="14">
        <v>0</v>
      </c>
      <c r="AH9" s="14">
        <v>0.65</v>
      </c>
      <c r="AI9" s="6">
        <v>45644</v>
      </c>
    </row>
    <row r="10" spans="1:36" ht="15.75" x14ac:dyDescent="0.25">
      <c r="A10">
        <v>1111</v>
      </c>
      <c r="B10">
        <v>0</v>
      </c>
      <c r="C10" s="1">
        <v>3</v>
      </c>
      <c r="D10" s="2">
        <v>7.8000000000000007</v>
      </c>
      <c r="E10" s="3"/>
      <c r="F10" s="3">
        <v>4</v>
      </c>
      <c r="G10" s="3">
        <v>2.4499999999999997</v>
      </c>
      <c r="H10" s="1">
        <v>0</v>
      </c>
      <c r="I10" s="1">
        <v>9061.875</v>
      </c>
      <c r="J10" s="1">
        <v>2025</v>
      </c>
      <c r="K10" s="1">
        <v>0</v>
      </c>
      <c r="L10" s="1">
        <v>3564</v>
      </c>
      <c r="M10" s="1">
        <v>34000</v>
      </c>
      <c r="N10" s="1">
        <f t="shared" si="0"/>
        <v>6375</v>
      </c>
      <c r="P10" s="1">
        <v>2925</v>
      </c>
      <c r="Q10" s="1">
        <v>3500</v>
      </c>
      <c r="R10" s="1">
        <v>3083.0055749999997</v>
      </c>
      <c r="S10" s="1">
        <v>901</v>
      </c>
      <c r="T10" s="1"/>
      <c r="U10" s="1">
        <v>425000</v>
      </c>
      <c r="V10" s="4">
        <v>300300</v>
      </c>
      <c r="W10" s="13">
        <v>0.93531760199516989</v>
      </c>
      <c r="X10" s="13">
        <v>0.54795233424136269</v>
      </c>
      <c r="Y10" s="13">
        <v>0.80079999999999996</v>
      </c>
      <c r="Z10" s="12">
        <v>46130</v>
      </c>
      <c r="AA10" s="5"/>
      <c r="AB10" s="1">
        <v>64140.119424999983</v>
      </c>
      <c r="AC10" s="16">
        <v>1.177742450401519</v>
      </c>
      <c r="AD10" s="13">
        <v>0.12883345836917282</v>
      </c>
      <c r="AE10" s="14">
        <v>0.35</v>
      </c>
      <c r="AF10" s="14">
        <v>0</v>
      </c>
      <c r="AG10" s="14">
        <v>0</v>
      </c>
      <c r="AH10" s="14">
        <v>0.65</v>
      </c>
      <c r="AI10" s="6">
        <v>45644</v>
      </c>
    </row>
    <row r="11" spans="1:36" ht="15.75" x14ac:dyDescent="0.25">
      <c r="A11">
        <v>1133</v>
      </c>
      <c r="B11">
        <v>0</v>
      </c>
      <c r="C11" s="1">
        <v>3</v>
      </c>
      <c r="D11" s="2">
        <v>7.8000000000000007</v>
      </c>
      <c r="E11" s="3">
        <v>4</v>
      </c>
      <c r="F11" s="3">
        <v>4</v>
      </c>
      <c r="G11" s="3">
        <v>2.4499999999999997</v>
      </c>
      <c r="H11" s="1">
        <v>100000</v>
      </c>
      <c r="I11" s="1">
        <v>21092.166666666668</v>
      </c>
      <c r="J11" s="1">
        <v>2525.0000000000005</v>
      </c>
      <c r="K11" s="1">
        <v>0</v>
      </c>
      <c r="L11" s="1">
        <v>4444.0000000000009</v>
      </c>
      <c r="M11" s="1">
        <v>80000</v>
      </c>
      <c r="N11" s="1">
        <f t="shared" si="0"/>
        <v>15000</v>
      </c>
      <c r="P11" s="1">
        <v>2925</v>
      </c>
      <c r="Q11" s="1">
        <v>3500</v>
      </c>
      <c r="R11" s="1">
        <v>4073.8812749999997</v>
      </c>
      <c r="S11" s="1">
        <v>901</v>
      </c>
      <c r="T11" s="1"/>
      <c r="U11" s="1">
        <v>1000000</v>
      </c>
      <c r="V11" s="4">
        <v>509575.00000000012</v>
      </c>
      <c r="W11" s="13">
        <v>1.1244324796252263</v>
      </c>
      <c r="X11" s="13">
        <v>0.6243943990054881</v>
      </c>
      <c r="Y11" s="13">
        <v>0.72796428571428584</v>
      </c>
      <c r="Z11" s="12">
        <v>46252</v>
      </c>
      <c r="AA11" s="5"/>
      <c r="AB11" s="1">
        <v>269463.9420583332</v>
      </c>
      <c r="AC11" s="16">
        <v>1.3688578258786643</v>
      </c>
      <c r="AD11" s="13">
        <v>0.20504969285578389</v>
      </c>
      <c r="AE11" s="14">
        <v>0.35</v>
      </c>
      <c r="AF11" s="14">
        <v>0</v>
      </c>
      <c r="AG11" s="14">
        <v>0</v>
      </c>
      <c r="AH11" s="14">
        <v>0.65</v>
      </c>
      <c r="AI11" s="6">
        <v>45644</v>
      </c>
    </row>
    <row r="12" spans="1:36" ht="15.75" x14ac:dyDescent="0.25">
      <c r="A12">
        <v>1083</v>
      </c>
      <c r="B12">
        <v>0</v>
      </c>
      <c r="C12" s="1">
        <v>3</v>
      </c>
      <c r="D12" s="2">
        <v>3.6833333333333336</v>
      </c>
      <c r="E12" s="3"/>
      <c r="F12" s="3">
        <v>4</v>
      </c>
      <c r="G12" s="3">
        <v>2.4499999999999997</v>
      </c>
      <c r="H12" s="1">
        <v>0</v>
      </c>
      <c r="I12" s="1">
        <v>4743.2301319444441</v>
      </c>
      <c r="J12" s="1">
        <v>1510.4166666666667</v>
      </c>
      <c r="K12" s="1">
        <v>0</v>
      </c>
      <c r="L12" s="1">
        <v>1208.3333333333335</v>
      </c>
      <c r="M12" s="1">
        <v>66000</v>
      </c>
      <c r="N12" s="1">
        <f t="shared" si="0"/>
        <v>12375</v>
      </c>
      <c r="P12" s="1">
        <v>2632.5</v>
      </c>
      <c r="Q12" s="1">
        <v>3500</v>
      </c>
      <c r="R12" s="1">
        <v>4322.5860749999993</v>
      </c>
      <c r="S12" s="1">
        <v>674.58333333333337</v>
      </c>
      <c r="T12" s="1"/>
      <c r="U12" s="1">
        <v>825000</v>
      </c>
      <c r="V12" s="4">
        <v>453894.29044133617</v>
      </c>
      <c r="W12" s="13">
        <v>0.93327672282826701</v>
      </c>
      <c r="X12" s="13">
        <v>0.45405374957765032</v>
      </c>
      <c r="Y12" s="13">
        <v>0.59741720151644551</v>
      </c>
      <c r="Z12" s="12">
        <v>46009</v>
      </c>
      <c r="AA12" s="5"/>
      <c r="AB12" s="1">
        <v>285014.06001838611</v>
      </c>
      <c r="AC12" s="16">
        <v>1.5278175576721322</v>
      </c>
      <c r="AD12" s="13">
        <v>0.52335821186357423</v>
      </c>
      <c r="AE12" s="14">
        <v>0.35</v>
      </c>
      <c r="AF12" s="14">
        <v>0</v>
      </c>
      <c r="AG12" s="14">
        <v>0</v>
      </c>
      <c r="AH12" s="14">
        <v>0.65</v>
      </c>
      <c r="AI12" s="6">
        <v>45644</v>
      </c>
    </row>
    <row r="13" spans="1:36" ht="15.75" x14ac:dyDescent="0.25">
      <c r="A13">
        <v>1096</v>
      </c>
      <c r="B13">
        <v>0</v>
      </c>
      <c r="C13" s="1">
        <v>3</v>
      </c>
      <c r="D13" s="2">
        <v>3.6833333333333336</v>
      </c>
      <c r="E13" s="3"/>
      <c r="F13" s="3">
        <v>4</v>
      </c>
      <c r="G13" s="3">
        <v>2.4499999999999997</v>
      </c>
      <c r="H13" s="1">
        <v>0</v>
      </c>
      <c r="I13" s="1">
        <v>4370.1388888888887</v>
      </c>
      <c r="J13" s="1">
        <v>1510.4166666666667</v>
      </c>
      <c r="K13" s="1">
        <v>0</v>
      </c>
      <c r="L13" s="1">
        <v>1208.3333333333335</v>
      </c>
      <c r="M13" s="1">
        <v>70000</v>
      </c>
      <c r="N13" s="1">
        <f t="shared" si="0"/>
        <v>13125</v>
      </c>
      <c r="P13" s="1">
        <v>2632.5</v>
      </c>
      <c r="Q13" s="1">
        <v>3500</v>
      </c>
      <c r="R13" s="1">
        <v>3965.2774499999996</v>
      </c>
      <c r="S13" s="1">
        <v>674.58333333333337</v>
      </c>
      <c r="T13" s="1"/>
      <c r="U13" s="1">
        <v>875000</v>
      </c>
      <c r="V13" s="4">
        <v>632514</v>
      </c>
      <c r="W13" s="13">
        <v>1.4417796286449946</v>
      </c>
      <c r="X13" s="13">
        <v>0.60445901408485425</v>
      </c>
      <c r="Y13" s="13">
        <v>0.9035914285714286</v>
      </c>
      <c r="Z13" s="12">
        <v>46009</v>
      </c>
      <c r="AA13" s="5"/>
      <c r="AB13" s="1">
        <v>153124.75032777782</v>
      </c>
      <c r="AC13" s="16">
        <v>1.2121207928895004</v>
      </c>
      <c r="AD13" s="13">
        <v>0.21051373811826934</v>
      </c>
      <c r="AE13" s="14">
        <v>0.35</v>
      </c>
      <c r="AF13" s="14">
        <v>0</v>
      </c>
      <c r="AG13" s="14">
        <v>0</v>
      </c>
      <c r="AH13" s="14">
        <v>0.65</v>
      </c>
      <c r="AI13" s="6">
        <v>45644</v>
      </c>
    </row>
    <row r="14" spans="1:36" ht="15.75" x14ac:dyDescent="0.25">
      <c r="A14">
        <v>1116</v>
      </c>
      <c r="B14">
        <v>0</v>
      </c>
      <c r="C14" s="1">
        <v>3</v>
      </c>
      <c r="D14" s="2">
        <v>5.416666666666667</v>
      </c>
      <c r="E14" s="3"/>
      <c r="F14" s="3">
        <v>4</v>
      </c>
      <c r="G14" s="3">
        <v>2.4499999999999997</v>
      </c>
      <c r="H14" s="1">
        <v>0</v>
      </c>
      <c r="I14" s="1">
        <v>7169.1229166666662</v>
      </c>
      <c r="J14" s="1">
        <v>1727.0833333333333</v>
      </c>
      <c r="K14" s="1">
        <v>0</v>
      </c>
      <c r="L14" s="1">
        <v>3454.1666666666665</v>
      </c>
      <c r="M14" s="1">
        <v>50000</v>
      </c>
      <c r="N14" s="1">
        <f t="shared" si="0"/>
        <v>9375</v>
      </c>
      <c r="P14" s="1">
        <v>1950</v>
      </c>
      <c r="Q14" s="1">
        <v>3500</v>
      </c>
      <c r="R14" s="1">
        <v>2852.5691999999999</v>
      </c>
      <c r="S14" s="1">
        <v>769.91666666666663</v>
      </c>
      <c r="T14" s="1"/>
      <c r="U14" s="1">
        <v>625000</v>
      </c>
      <c r="V14" s="4">
        <v>405521</v>
      </c>
      <c r="W14" s="13">
        <v>1.3966984378728355</v>
      </c>
      <c r="X14" s="13">
        <v>0.60948861353119999</v>
      </c>
      <c r="Y14" s="13">
        <v>0.68384654300168635</v>
      </c>
      <c r="Z14" s="12">
        <v>46040</v>
      </c>
      <c r="AA14" s="5"/>
      <c r="AB14" s="1">
        <v>146556.14121666667</v>
      </c>
      <c r="AC14" s="16">
        <v>1.3063183663582891</v>
      </c>
      <c r="AD14" s="13">
        <v>0.26121891353550319</v>
      </c>
      <c r="AE14" s="14">
        <v>0.35</v>
      </c>
      <c r="AF14" s="14">
        <v>0</v>
      </c>
      <c r="AG14" s="14">
        <v>0</v>
      </c>
      <c r="AH14" s="14">
        <v>0.65</v>
      </c>
      <c r="AI14" s="6">
        <v>45644</v>
      </c>
    </row>
    <row r="15" spans="1:36" ht="15.75" x14ac:dyDescent="0.25">
      <c r="A15">
        <v>1117</v>
      </c>
      <c r="B15">
        <v>0</v>
      </c>
      <c r="C15" s="1">
        <v>3</v>
      </c>
      <c r="D15" s="2">
        <v>5.416666666666667</v>
      </c>
      <c r="E15" s="3"/>
      <c r="F15" s="3">
        <v>4</v>
      </c>
      <c r="G15" s="3">
        <v>2.4499999999999997</v>
      </c>
      <c r="H15" s="1">
        <v>0</v>
      </c>
      <c r="I15" s="1">
        <v>5379.864583333333</v>
      </c>
      <c r="J15" s="1">
        <v>1727.0833333333333</v>
      </c>
      <c r="K15" s="1">
        <v>0</v>
      </c>
      <c r="L15" s="1">
        <v>3454.1666666666665</v>
      </c>
      <c r="M15" s="1">
        <v>35200</v>
      </c>
      <c r="N15" s="1">
        <f t="shared" si="0"/>
        <v>6600</v>
      </c>
      <c r="P15" s="1">
        <v>1950</v>
      </c>
      <c r="Q15" s="1">
        <v>3500</v>
      </c>
      <c r="R15" s="1">
        <v>2943.7622249999999</v>
      </c>
      <c r="S15" s="1">
        <v>769.91666666666663</v>
      </c>
      <c r="T15" s="1"/>
      <c r="U15" s="1">
        <v>440000</v>
      </c>
      <c r="V15" s="4">
        <v>300472</v>
      </c>
      <c r="W15" s="13">
        <v>0.99329051549242886</v>
      </c>
      <c r="X15" s="13">
        <v>0.50486870686572338</v>
      </c>
      <c r="Y15" s="13">
        <v>0.67521797752808987</v>
      </c>
      <c r="Z15" s="12">
        <v>46040</v>
      </c>
      <c r="AA15" s="5"/>
      <c r="AB15" s="1">
        <v>83103.206524999987</v>
      </c>
      <c r="AC15" s="16">
        <v>1.2328494064512272</v>
      </c>
      <c r="AD15" s="13">
        <v>0.1993801084693092</v>
      </c>
      <c r="AE15" s="14">
        <v>0.35</v>
      </c>
      <c r="AF15" s="14">
        <v>0</v>
      </c>
      <c r="AG15" s="14">
        <v>0</v>
      </c>
      <c r="AH15" s="14">
        <v>0.65</v>
      </c>
      <c r="AI15" s="6">
        <v>45644</v>
      </c>
    </row>
    <row r="16" spans="1:36" ht="15.75" x14ac:dyDescent="0.25">
      <c r="A16">
        <v>1094</v>
      </c>
      <c r="B16">
        <v>0</v>
      </c>
      <c r="C16" s="1">
        <v>3</v>
      </c>
      <c r="D16" s="2">
        <v>5.416666666666667</v>
      </c>
      <c r="E16" s="3"/>
      <c r="F16" s="3">
        <v>4</v>
      </c>
      <c r="G16" s="3">
        <v>2.4499999999999997</v>
      </c>
      <c r="H16" s="1">
        <v>0</v>
      </c>
      <c r="I16" s="1">
        <v>4325.4353041666664</v>
      </c>
      <c r="J16" s="1">
        <v>1727.0833333333333</v>
      </c>
      <c r="K16" s="1">
        <v>0</v>
      </c>
      <c r="L16" s="1">
        <v>3454.1666666666665</v>
      </c>
      <c r="M16" s="1">
        <v>32000</v>
      </c>
      <c r="N16" s="1">
        <f t="shared" si="0"/>
        <v>6000</v>
      </c>
      <c r="P16" s="1">
        <v>1950</v>
      </c>
      <c r="Q16" s="1">
        <v>3500</v>
      </c>
      <c r="R16" s="1">
        <v>2368.2924000000003</v>
      </c>
      <c r="S16" s="1">
        <v>769.91666666666663</v>
      </c>
      <c r="T16" s="1"/>
      <c r="U16" s="1">
        <v>400000</v>
      </c>
      <c r="V16" s="4">
        <v>261442.86185442537</v>
      </c>
      <c r="W16" s="13">
        <v>1.1579934238813039</v>
      </c>
      <c r="X16" s="13">
        <v>0.57632935577939071</v>
      </c>
      <c r="Y16" s="13">
        <v>0.73073229467783563</v>
      </c>
      <c r="Z16" s="12">
        <v>46040</v>
      </c>
      <c r="AA16" s="5"/>
      <c r="AB16" s="1">
        <v>86962.243774741306</v>
      </c>
      <c r="AC16" s="16">
        <v>1.2778011343531488</v>
      </c>
      <c r="AD16" s="13">
        <v>0.23727171047353379</v>
      </c>
      <c r="AE16" s="14">
        <v>0.35</v>
      </c>
      <c r="AF16" s="14">
        <v>0</v>
      </c>
      <c r="AG16" s="14">
        <v>0</v>
      </c>
      <c r="AH16" s="14">
        <v>0.65</v>
      </c>
      <c r="AI16" s="6">
        <v>45644</v>
      </c>
    </row>
    <row r="17" spans="1:35" ht="15.75" x14ac:dyDescent="0.25">
      <c r="A17">
        <v>1077</v>
      </c>
      <c r="B17">
        <v>0</v>
      </c>
      <c r="C17" s="1">
        <v>3</v>
      </c>
      <c r="D17" s="2">
        <v>9.1216666666666661</v>
      </c>
      <c r="E17" s="3"/>
      <c r="F17" s="3">
        <v>4</v>
      </c>
      <c r="G17" s="3">
        <v>2.4499999999999997</v>
      </c>
      <c r="H17" s="1">
        <v>0</v>
      </c>
      <c r="I17" s="1">
        <v>11559.189513888887</v>
      </c>
      <c r="J17" s="1">
        <v>2190.208333333333</v>
      </c>
      <c r="K17" s="1">
        <v>0</v>
      </c>
      <c r="L17" s="1">
        <v>4380.4166666666661</v>
      </c>
      <c r="M17" s="1">
        <v>30000</v>
      </c>
      <c r="N17" s="1">
        <f t="shared" si="0"/>
        <v>5625</v>
      </c>
      <c r="P17" s="1">
        <v>1820</v>
      </c>
      <c r="Q17" s="1">
        <v>3500</v>
      </c>
      <c r="R17" s="1">
        <v>3088.3229999999999</v>
      </c>
      <c r="S17" s="1">
        <v>973.69166666666661</v>
      </c>
      <c r="T17" s="1"/>
      <c r="U17" s="1">
        <v>375000</v>
      </c>
      <c r="V17" s="4">
        <v>224852</v>
      </c>
      <c r="W17" s="13">
        <v>0.69878337876861074</v>
      </c>
      <c r="X17" s="13">
        <v>0.45023282546748106</v>
      </c>
      <c r="Y17" s="13">
        <v>0.63338591549295775</v>
      </c>
      <c r="Z17" s="12">
        <v>46160</v>
      </c>
      <c r="AA17" s="5"/>
      <c r="AB17" s="1">
        <v>91136.170819444465</v>
      </c>
      <c r="AC17" s="16">
        <v>1.3210559481372881</v>
      </c>
      <c r="AD17" s="13">
        <v>0.21008218996766015</v>
      </c>
      <c r="AE17" s="14">
        <v>0.35</v>
      </c>
      <c r="AF17" s="14">
        <v>0</v>
      </c>
      <c r="AG17" s="14">
        <v>0</v>
      </c>
      <c r="AH17" s="14">
        <v>0.65</v>
      </c>
      <c r="AI17" s="6">
        <v>45644</v>
      </c>
    </row>
    <row r="18" spans="1:35" ht="15.75" x14ac:dyDescent="0.25">
      <c r="A18">
        <v>1126</v>
      </c>
      <c r="B18">
        <v>0</v>
      </c>
      <c r="C18" s="1">
        <v>3</v>
      </c>
      <c r="D18" s="2">
        <v>9.1216666666666661</v>
      </c>
      <c r="E18" s="3"/>
      <c r="F18" s="3">
        <v>4</v>
      </c>
      <c r="G18" s="3">
        <v>2.4499999999999997</v>
      </c>
      <c r="H18" s="1">
        <v>0</v>
      </c>
      <c r="I18" s="1">
        <v>10712.600986111109</v>
      </c>
      <c r="J18" s="1">
        <v>2190.208333333333</v>
      </c>
      <c r="K18" s="1">
        <v>0</v>
      </c>
      <c r="L18" s="1">
        <v>4380.4166666666661</v>
      </c>
      <c r="M18" s="1">
        <v>31600</v>
      </c>
      <c r="N18" s="1">
        <f t="shared" si="0"/>
        <v>5925</v>
      </c>
      <c r="P18" s="1">
        <v>1820</v>
      </c>
      <c r="Q18" s="1">
        <v>3500</v>
      </c>
      <c r="R18" s="1">
        <v>2855.4773249999998</v>
      </c>
      <c r="S18" s="1">
        <v>973.69166666666661</v>
      </c>
      <c r="T18" s="1"/>
      <c r="U18" s="1">
        <v>395000</v>
      </c>
      <c r="V18" s="4">
        <v>272095</v>
      </c>
      <c r="W18" s="13">
        <v>0.93590172968205487</v>
      </c>
      <c r="X18" s="13">
        <v>0.45756183937454703</v>
      </c>
      <c r="Y18" s="13">
        <v>0.82703647416413373</v>
      </c>
      <c r="Z18" s="12">
        <v>46160</v>
      </c>
      <c r="AA18" s="5"/>
      <c r="AB18" s="1">
        <v>63372.605022222211</v>
      </c>
      <c r="AC18" s="16">
        <v>1.1910958080723963</v>
      </c>
      <c r="AD18" s="13">
        <v>0.12723207264515568</v>
      </c>
      <c r="AE18" s="14">
        <v>0.35</v>
      </c>
      <c r="AF18" s="14">
        <v>0</v>
      </c>
      <c r="AG18" s="14">
        <v>0</v>
      </c>
      <c r="AH18" s="14">
        <v>0.65</v>
      </c>
      <c r="AI18" s="6">
        <v>45644</v>
      </c>
    </row>
    <row r="19" spans="1:35" ht="15.75" x14ac:dyDescent="0.25">
      <c r="A19">
        <v>1089</v>
      </c>
      <c r="B19">
        <v>0</v>
      </c>
      <c r="C19" s="1">
        <v>3</v>
      </c>
      <c r="D19" s="2">
        <v>9.1216666666666661</v>
      </c>
      <c r="E19" s="3"/>
      <c r="F19" s="3">
        <v>4</v>
      </c>
      <c r="G19" s="3">
        <v>2.4499999999999997</v>
      </c>
      <c r="H19" s="1">
        <v>0</v>
      </c>
      <c r="I19" s="1">
        <v>11168.456347222222</v>
      </c>
      <c r="J19" s="1">
        <v>2190.208333333333</v>
      </c>
      <c r="K19" s="1">
        <v>0</v>
      </c>
      <c r="L19" s="1">
        <v>4380.4166666666661</v>
      </c>
      <c r="M19" s="1">
        <v>34000</v>
      </c>
      <c r="N19" s="1">
        <f t="shared" si="0"/>
        <v>6375</v>
      </c>
      <c r="P19" s="1">
        <v>1820</v>
      </c>
      <c r="Q19" s="1">
        <v>3500</v>
      </c>
      <c r="R19" s="1">
        <v>2538.6212999999998</v>
      </c>
      <c r="S19" s="1">
        <v>973.69166666666661</v>
      </c>
      <c r="T19" s="1"/>
      <c r="U19" s="1">
        <v>425000</v>
      </c>
      <c r="V19" s="4">
        <v>259623</v>
      </c>
      <c r="W19" s="13">
        <v>1.0448327135990558</v>
      </c>
      <c r="X19" s="13">
        <v>0.49458692467643617</v>
      </c>
      <c r="Y19" s="13">
        <v>0.75691836734693874</v>
      </c>
      <c r="Z19" s="12">
        <v>46160</v>
      </c>
      <c r="AA19" s="5"/>
      <c r="AB19" s="1">
        <v>103305.60568611114</v>
      </c>
      <c r="AC19" s="16">
        <v>1.3211296420207812</v>
      </c>
      <c r="AD19" s="13">
        <v>0.21012842031073742</v>
      </c>
      <c r="AE19" s="14">
        <v>0.35</v>
      </c>
      <c r="AF19" s="14">
        <v>0</v>
      </c>
      <c r="AG19" s="14">
        <v>0</v>
      </c>
      <c r="AH19" s="14">
        <v>0.65</v>
      </c>
      <c r="AI19" s="6">
        <v>45644</v>
      </c>
    </row>
    <row r="20" spans="1:35" ht="15.75" x14ac:dyDescent="0.25">
      <c r="A20">
        <v>1088</v>
      </c>
      <c r="B20">
        <v>0</v>
      </c>
      <c r="C20" s="1">
        <v>3</v>
      </c>
      <c r="D20" s="2">
        <v>9.1216666666666661</v>
      </c>
      <c r="E20" s="3"/>
      <c r="F20" s="3">
        <v>4</v>
      </c>
      <c r="G20" s="3">
        <v>2.4499999999999997</v>
      </c>
      <c r="H20" s="1">
        <v>0</v>
      </c>
      <c r="I20" s="1">
        <v>16247.987513888887</v>
      </c>
      <c r="J20" s="1">
        <v>2190.208333333333</v>
      </c>
      <c r="K20" s="1">
        <v>0</v>
      </c>
      <c r="L20" s="1">
        <v>4380.4166666666661</v>
      </c>
      <c r="M20" s="1">
        <v>54000</v>
      </c>
      <c r="N20" s="1">
        <f t="shared" si="0"/>
        <v>10125</v>
      </c>
      <c r="P20" s="1">
        <v>1820</v>
      </c>
      <c r="Q20" s="1">
        <v>3500</v>
      </c>
      <c r="R20" s="1">
        <v>3978.018</v>
      </c>
      <c r="S20" s="1">
        <v>973.69166666666661</v>
      </c>
      <c r="T20" s="1"/>
      <c r="U20" s="1">
        <v>675000</v>
      </c>
      <c r="V20" s="4">
        <v>422272</v>
      </c>
      <c r="W20" s="13">
        <v>0.95883219528322272</v>
      </c>
      <c r="X20" s="13">
        <v>0.48309652388030777</v>
      </c>
      <c r="Y20" s="13">
        <v>0.84623647294589177</v>
      </c>
      <c r="Z20" s="12">
        <v>46160</v>
      </c>
      <c r="AA20" s="5"/>
      <c r="AB20" s="1">
        <v>164137.67781944445</v>
      </c>
      <c r="AC20" s="16">
        <v>1.3212953288839979</v>
      </c>
      <c r="AD20" s="13">
        <v>0.21023235759139158</v>
      </c>
      <c r="AE20" s="14">
        <v>0.35</v>
      </c>
      <c r="AF20" s="14">
        <v>0</v>
      </c>
      <c r="AG20" s="14">
        <v>0</v>
      </c>
      <c r="AH20" s="14">
        <v>0.65</v>
      </c>
      <c r="AI20" s="6">
        <v>45644</v>
      </c>
    </row>
    <row r="21" spans="1:35" ht="15.75" x14ac:dyDescent="0.25">
      <c r="A21">
        <v>1099</v>
      </c>
      <c r="B21">
        <v>0</v>
      </c>
      <c r="C21" s="1">
        <v>3</v>
      </c>
      <c r="D21" s="2">
        <v>12.436666666666667</v>
      </c>
      <c r="E21" s="3"/>
      <c r="F21" s="3">
        <v>4</v>
      </c>
      <c r="G21" s="3">
        <v>2.4499999999999997</v>
      </c>
      <c r="H21" s="1">
        <v>0</v>
      </c>
      <c r="I21" s="1">
        <v>11911.627777777778</v>
      </c>
      <c r="J21" s="1">
        <v>2604.583333333333</v>
      </c>
      <c r="K21" s="1">
        <v>0</v>
      </c>
      <c r="L21" s="1">
        <v>3750.6</v>
      </c>
      <c r="M21" s="1">
        <v>50000</v>
      </c>
      <c r="N21" s="1">
        <f t="shared" si="0"/>
        <v>9375</v>
      </c>
      <c r="P21" s="1">
        <v>4550</v>
      </c>
      <c r="Q21" s="1">
        <v>3500</v>
      </c>
      <c r="R21" s="1">
        <v>3074.7741000000001</v>
      </c>
      <c r="S21" s="1">
        <v>1156.0166666666667</v>
      </c>
      <c r="T21" s="1"/>
      <c r="U21" s="1">
        <v>625000</v>
      </c>
      <c r="V21" s="4">
        <v>280662</v>
      </c>
      <c r="W21" s="13">
        <v>0.8771513118672295</v>
      </c>
      <c r="X21" s="13">
        <v>0.53008278645759754</v>
      </c>
      <c r="Y21" s="13">
        <v>0.57277959183673466</v>
      </c>
      <c r="Z21" s="12">
        <v>46252</v>
      </c>
      <c r="AA21" s="5"/>
      <c r="AB21" s="1">
        <v>262290.39812222222</v>
      </c>
      <c r="AC21" s="16">
        <v>1.7231415897575444</v>
      </c>
      <c r="AD21" s="13">
        <v>0.36804095741993814</v>
      </c>
      <c r="AE21" s="14">
        <v>0.35</v>
      </c>
      <c r="AF21" s="14">
        <v>0</v>
      </c>
      <c r="AG21" s="14">
        <v>0</v>
      </c>
      <c r="AH21" s="14">
        <v>0.65</v>
      </c>
      <c r="AI21" s="6">
        <v>45644</v>
      </c>
    </row>
    <row r="22" spans="1:35" ht="15.75" x14ac:dyDescent="0.25">
      <c r="A22">
        <v>1122</v>
      </c>
      <c r="B22">
        <v>0</v>
      </c>
      <c r="C22" s="1">
        <v>3</v>
      </c>
      <c r="D22" s="2">
        <v>12.436666666666667</v>
      </c>
      <c r="E22" s="3"/>
      <c r="F22" s="3">
        <v>4</v>
      </c>
      <c r="G22" s="3">
        <v>2.4499999999999997</v>
      </c>
      <c r="H22" s="1">
        <v>0</v>
      </c>
      <c r="I22" s="1">
        <v>12640.911111111111</v>
      </c>
      <c r="J22" s="1">
        <v>2604.583333333333</v>
      </c>
      <c r="K22" s="1">
        <v>0</v>
      </c>
      <c r="L22" s="1">
        <v>3750.6</v>
      </c>
      <c r="M22" s="1">
        <v>50000</v>
      </c>
      <c r="N22" s="1">
        <f t="shared" si="0"/>
        <v>9375</v>
      </c>
      <c r="P22" s="1">
        <v>4550</v>
      </c>
      <c r="Q22" s="1">
        <v>3500</v>
      </c>
      <c r="R22" s="1">
        <v>4529.9606999999996</v>
      </c>
      <c r="S22" s="1">
        <v>1156.0166666666667</v>
      </c>
      <c r="T22" s="1"/>
      <c r="U22" s="1">
        <v>625000</v>
      </c>
      <c r="V22" s="4">
        <v>364620</v>
      </c>
      <c r="W22" s="13">
        <v>0.70938466376583298</v>
      </c>
      <c r="X22" s="13">
        <v>0.31676392404494202</v>
      </c>
      <c r="Y22" s="13">
        <v>0.70119230769230767</v>
      </c>
      <c r="Z22" s="12">
        <v>46252</v>
      </c>
      <c r="AA22" s="5"/>
      <c r="AB22" s="1">
        <v>176147.92818888888</v>
      </c>
      <c r="AC22" s="16">
        <v>1.3924409382319096</v>
      </c>
      <c r="AD22" s="13">
        <v>0.2100468314275763</v>
      </c>
      <c r="AE22" s="14">
        <v>0.35</v>
      </c>
      <c r="AF22" s="14">
        <v>0</v>
      </c>
      <c r="AG22" s="14">
        <v>0</v>
      </c>
      <c r="AH22" s="14">
        <v>0.65</v>
      </c>
      <c r="AI22" s="6">
        <v>45644</v>
      </c>
    </row>
    <row r="23" spans="1:35" ht="15.75" x14ac:dyDescent="0.25">
      <c r="A23">
        <v>1084</v>
      </c>
      <c r="B23">
        <v>0</v>
      </c>
      <c r="C23" s="1">
        <v>3</v>
      </c>
      <c r="D23" s="2">
        <v>12.436666666666667</v>
      </c>
      <c r="E23" s="3"/>
      <c r="F23" s="3">
        <v>4</v>
      </c>
      <c r="G23" s="3">
        <v>2.4499999999999997</v>
      </c>
      <c r="H23" s="1">
        <v>0</v>
      </c>
      <c r="I23" s="1">
        <v>4060</v>
      </c>
      <c r="J23" s="1">
        <v>375</v>
      </c>
      <c r="K23" s="1">
        <v>0</v>
      </c>
      <c r="L23" s="1">
        <v>540</v>
      </c>
      <c r="M23" s="1">
        <v>72000</v>
      </c>
      <c r="N23" s="1">
        <f t="shared" si="0"/>
        <v>13500</v>
      </c>
      <c r="P23" s="1">
        <v>4550</v>
      </c>
      <c r="Q23" s="1">
        <v>3500</v>
      </c>
      <c r="R23" s="1">
        <v>3578.6360249999998</v>
      </c>
      <c r="S23" s="1">
        <v>1156.0166666666667</v>
      </c>
      <c r="T23" s="1"/>
      <c r="U23" s="1">
        <v>900000</v>
      </c>
      <c r="V23" s="4">
        <v>682389.15799999994</v>
      </c>
      <c r="W23" s="13">
        <v>1.7625896086614368</v>
      </c>
      <c r="X23" s="13">
        <v>0.82000000000000006</v>
      </c>
      <c r="Y23" s="13">
        <v>0.5882665155172413</v>
      </c>
      <c r="Z23" s="12">
        <v>45734</v>
      </c>
      <c r="AA23" s="5"/>
      <c r="AB23" s="1">
        <v>126351.18930833344</v>
      </c>
      <c r="AC23" s="16">
        <v>1.1633185336320384</v>
      </c>
      <c r="AD23" s="13">
        <v>0.83144798503862938</v>
      </c>
      <c r="AE23" s="14">
        <v>0.35</v>
      </c>
      <c r="AF23" s="14">
        <v>0</v>
      </c>
      <c r="AG23" s="14">
        <v>0</v>
      </c>
      <c r="AH23" s="14">
        <v>0.65</v>
      </c>
      <c r="AI23" s="6">
        <v>45644</v>
      </c>
    </row>
    <row r="24" spans="1:35" ht="15.75" x14ac:dyDescent="0.25">
      <c r="A24">
        <v>1081</v>
      </c>
      <c r="B24">
        <v>0</v>
      </c>
      <c r="C24" s="1">
        <v>3</v>
      </c>
      <c r="D24" s="2">
        <v>7.8433333333333337</v>
      </c>
      <c r="E24" s="3"/>
      <c r="F24" s="3">
        <v>4</v>
      </c>
      <c r="G24" s="3">
        <v>2.4499999999999997</v>
      </c>
      <c r="H24" s="1">
        <v>0</v>
      </c>
      <c r="I24" s="1">
        <v>4059.9805583333332</v>
      </c>
      <c r="J24" s="1">
        <v>2030.4166666666665</v>
      </c>
      <c r="K24" s="1">
        <v>0</v>
      </c>
      <c r="L24" s="1">
        <v>3573.5333333333333</v>
      </c>
      <c r="M24" s="1">
        <v>17200</v>
      </c>
      <c r="N24" s="1">
        <f t="shared" si="0"/>
        <v>3225</v>
      </c>
      <c r="P24" s="1">
        <v>3250</v>
      </c>
      <c r="Q24" s="1">
        <v>3500</v>
      </c>
      <c r="R24" s="1">
        <v>1815.8612249999999</v>
      </c>
      <c r="S24" s="1">
        <v>903.38333333333333</v>
      </c>
      <c r="T24" s="1"/>
      <c r="U24" s="1">
        <v>215000</v>
      </c>
      <c r="V24" s="4">
        <v>116529.90561351216</v>
      </c>
      <c r="W24" s="13">
        <v>0.7660653837203919</v>
      </c>
      <c r="X24" s="13">
        <v>0.41036442564538572</v>
      </c>
      <c r="Y24" s="13">
        <v>0.57888676410090489</v>
      </c>
      <c r="Z24" s="12">
        <v>46130</v>
      </c>
      <c r="AA24" s="5"/>
      <c r="AB24" s="1">
        <v>60636.91926982117</v>
      </c>
      <c r="AC24" s="16">
        <v>1.3928200900305452</v>
      </c>
      <c r="AD24" s="13">
        <v>0.27733423352911979</v>
      </c>
      <c r="AE24" s="14">
        <v>0.35</v>
      </c>
      <c r="AF24" s="14">
        <v>0</v>
      </c>
      <c r="AG24" s="14">
        <v>0</v>
      </c>
      <c r="AH24" s="14">
        <v>0.65</v>
      </c>
      <c r="AI24" s="6">
        <v>45644</v>
      </c>
    </row>
    <row r="25" spans="1:35" ht="15.75" x14ac:dyDescent="0.25">
      <c r="A25">
        <v>1109</v>
      </c>
      <c r="B25">
        <v>0</v>
      </c>
      <c r="C25" s="1">
        <v>3</v>
      </c>
      <c r="D25" s="2">
        <v>7.8433333333333337</v>
      </c>
      <c r="E25" s="3"/>
      <c r="F25" s="3">
        <v>4</v>
      </c>
      <c r="G25" s="3">
        <v>2.4499999999999997</v>
      </c>
      <c r="H25" s="1">
        <v>0</v>
      </c>
      <c r="I25" s="1">
        <v>2218.5686111111113</v>
      </c>
      <c r="J25" s="1">
        <v>2030.4166666666665</v>
      </c>
      <c r="K25" s="1">
        <v>0</v>
      </c>
      <c r="L25" s="1">
        <v>3573.5333333333333</v>
      </c>
      <c r="M25" s="1">
        <v>8000</v>
      </c>
      <c r="N25" s="1">
        <f t="shared" si="0"/>
        <v>1500</v>
      </c>
      <c r="P25" s="1">
        <v>3250</v>
      </c>
      <c r="Q25" s="1">
        <v>3500</v>
      </c>
      <c r="R25" s="1">
        <v>1022.862525</v>
      </c>
      <c r="S25" s="1">
        <v>903.38333333333333</v>
      </c>
      <c r="T25" s="1"/>
      <c r="U25" s="1">
        <v>100000</v>
      </c>
      <c r="V25" s="4">
        <v>48503.000000000007</v>
      </c>
      <c r="W25" s="13">
        <v>1.0457363868097032</v>
      </c>
      <c r="X25" s="13">
        <v>0.51039306463975642</v>
      </c>
      <c r="Y25" s="13">
        <v>0.44093636363636368</v>
      </c>
      <c r="Z25" s="12">
        <v>46130</v>
      </c>
      <c r="AA25" s="5"/>
      <c r="AB25" s="1">
        <v>25998.235530555539</v>
      </c>
      <c r="AC25" s="16">
        <v>1.3513191302524994</v>
      </c>
      <c r="AD25" s="13">
        <v>0.24910609918216964</v>
      </c>
      <c r="AE25" s="14">
        <v>0.35</v>
      </c>
      <c r="AF25" s="14">
        <v>0</v>
      </c>
      <c r="AG25" s="14">
        <v>0</v>
      </c>
      <c r="AH25" s="14">
        <v>0.65</v>
      </c>
      <c r="AI25" s="6">
        <v>45644</v>
      </c>
    </row>
    <row r="26" spans="1:35" ht="15.75" x14ac:dyDescent="0.25">
      <c r="A26">
        <v>1092</v>
      </c>
      <c r="B26">
        <v>0</v>
      </c>
      <c r="C26" s="1">
        <v>3</v>
      </c>
      <c r="D26" s="2">
        <v>3.3800000000000003</v>
      </c>
      <c r="E26" s="3">
        <v>4</v>
      </c>
      <c r="F26" s="3">
        <v>4</v>
      </c>
      <c r="G26" s="3">
        <v>2.4499999999999997</v>
      </c>
      <c r="H26" s="1">
        <v>20000</v>
      </c>
      <c r="I26" s="1">
        <v>6443.5</v>
      </c>
      <c r="J26" s="1">
        <v>1972.5</v>
      </c>
      <c r="K26" s="1">
        <v>0</v>
      </c>
      <c r="L26" s="1">
        <v>2682.6</v>
      </c>
      <c r="M26" s="1">
        <v>30000</v>
      </c>
      <c r="N26" s="1">
        <f t="shared" si="0"/>
        <v>5625</v>
      </c>
      <c r="P26" s="1">
        <v>3250</v>
      </c>
      <c r="Q26" s="1">
        <v>3500</v>
      </c>
      <c r="R26" s="1">
        <v>1909.9577999999999</v>
      </c>
      <c r="S26" s="1">
        <v>657.9</v>
      </c>
      <c r="T26" s="1"/>
      <c r="U26" s="1">
        <v>375000</v>
      </c>
      <c r="V26" s="4">
        <v>253141.99999999997</v>
      </c>
      <c r="W26" s="13">
        <v>1.5373521265261045</v>
      </c>
      <c r="X26" s="13">
        <v>0.77302669348735187</v>
      </c>
      <c r="Y26" s="13">
        <v>0.7232628571428571</v>
      </c>
      <c r="Z26" s="12">
        <v>46099</v>
      </c>
      <c r="AA26" s="5"/>
      <c r="AB26" s="1">
        <v>49941.542200000025</v>
      </c>
      <c r="AC26" s="16">
        <v>1.1536386486849322</v>
      </c>
      <c r="AD26" s="13">
        <v>0.1148113115038405</v>
      </c>
      <c r="AE26" s="14">
        <v>0.35</v>
      </c>
      <c r="AF26" s="14">
        <v>0</v>
      </c>
      <c r="AG26" s="14">
        <v>0</v>
      </c>
      <c r="AH26" s="14">
        <v>0.65</v>
      </c>
      <c r="AI26" s="6">
        <v>45644</v>
      </c>
    </row>
    <row r="27" spans="1:35" ht="15.75" x14ac:dyDescent="0.25">
      <c r="A27">
        <v>1136</v>
      </c>
      <c r="B27">
        <v>0</v>
      </c>
      <c r="C27" s="1">
        <v>3</v>
      </c>
      <c r="D27" s="2">
        <v>7.6049999999999995</v>
      </c>
      <c r="E27" s="3"/>
      <c r="F27" s="3">
        <v>4</v>
      </c>
      <c r="G27" s="3">
        <v>2.4499999999999997</v>
      </c>
      <c r="H27" s="1">
        <v>0</v>
      </c>
      <c r="I27" s="1">
        <v>12669.327528</v>
      </c>
      <c r="J27" s="1">
        <v>2000.6249999999998</v>
      </c>
      <c r="K27" s="1">
        <v>0</v>
      </c>
      <c r="L27" s="1">
        <v>1920.6</v>
      </c>
      <c r="M27" s="1">
        <v>36000</v>
      </c>
      <c r="N27" s="1">
        <f t="shared" si="0"/>
        <v>6750</v>
      </c>
      <c r="P27" s="1">
        <v>2925</v>
      </c>
      <c r="Q27" s="1">
        <v>3500</v>
      </c>
      <c r="R27" s="1">
        <v>3488.6621249999998</v>
      </c>
      <c r="S27" s="1">
        <v>890.27499999999998</v>
      </c>
      <c r="T27" s="1"/>
      <c r="U27" s="1">
        <v>450000</v>
      </c>
      <c r="V27" s="4">
        <v>283859.16738926695</v>
      </c>
      <c r="W27" s="13">
        <v>0.7566451339353697</v>
      </c>
      <c r="X27" s="13">
        <v>0.40598715587266082</v>
      </c>
      <c r="Y27" s="13">
        <v>0.62156582536122773</v>
      </c>
      <c r="Z27" s="12">
        <v>46130</v>
      </c>
      <c r="AA27" s="5"/>
      <c r="AB27" s="1">
        <v>101246.34295773302</v>
      </c>
      <c r="AC27" s="16">
        <v>1.2903090502803316</v>
      </c>
      <c r="AD27" s="13">
        <v>0.21058244513107782</v>
      </c>
      <c r="AE27" s="14">
        <v>0.35</v>
      </c>
      <c r="AF27" s="14">
        <v>0</v>
      </c>
      <c r="AG27" s="14">
        <v>0</v>
      </c>
      <c r="AH27" s="14">
        <v>0.65</v>
      </c>
      <c r="AI27" s="6">
        <v>45644</v>
      </c>
    </row>
    <row r="28" spans="1:35" ht="15.75" x14ac:dyDescent="0.25">
      <c r="A28">
        <v>1074</v>
      </c>
      <c r="B28">
        <v>0</v>
      </c>
      <c r="C28" s="1">
        <v>3</v>
      </c>
      <c r="D28" s="2">
        <v>10.984999999999999</v>
      </c>
      <c r="E28" s="3"/>
      <c r="F28" s="3">
        <v>4</v>
      </c>
      <c r="G28" s="3">
        <v>2.4499999999999997</v>
      </c>
      <c r="H28" s="1">
        <v>0</v>
      </c>
      <c r="I28" s="1">
        <v>3031.4127304999993</v>
      </c>
      <c r="J28" s="1">
        <v>2423.1249999999995</v>
      </c>
      <c r="K28" s="1">
        <v>0</v>
      </c>
      <c r="L28" s="1">
        <v>2907.7499999999995</v>
      </c>
      <c r="M28" s="1">
        <v>18000</v>
      </c>
      <c r="N28" s="1">
        <f t="shared" si="0"/>
        <v>3375</v>
      </c>
      <c r="P28" s="1">
        <v>1527.5</v>
      </c>
      <c r="Q28" s="1">
        <v>3500</v>
      </c>
      <c r="R28" s="1">
        <v>1397.6025</v>
      </c>
      <c r="S28" s="1">
        <v>1076.175</v>
      </c>
      <c r="T28" s="1"/>
      <c r="U28" s="1">
        <v>225000</v>
      </c>
      <c r="V28" s="4">
        <v>128949</v>
      </c>
      <c r="W28" s="13">
        <v>1.3383810601264181</v>
      </c>
      <c r="X28" s="13">
        <v>0.65973999954055751</v>
      </c>
      <c r="Y28" s="13">
        <v>0.57721386398327656</v>
      </c>
      <c r="Z28" s="12">
        <v>46221</v>
      </c>
      <c r="AA28" s="5"/>
      <c r="AB28" s="1">
        <v>60687.434769499989</v>
      </c>
      <c r="AC28" s="16">
        <v>1.3693414115004947</v>
      </c>
      <c r="AD28" s="13">
        <v>0.21480226310991601</v>
      </c>
      <c r="AE28" s="14">
        <v>0.35</v>
      </c>
      <c r="AF28" s="14">
        <v>0</v>
      </c>
      <c r="AG28" s="14">
        <v>0</v>
      </c>
      <c r="AH28" s="14">
        <v>0.65</v>
      </c>
      <c r="AI28" s="6">
        <v>45644</v>
      </c>
    </row>
    <row r="29" spans="1:35" ht="15.75" x14ac:dyDescent="0.25">
      <c r="A29">
        <v>1137</v>
      </c>
      <c r="B29">
        <v>0</v>
      </c>
      <c r="C29" s="1">
        <v>3</v>
      </c>
      <c r="D29" s="2">
        <v>6.001666666666666</v>
      </c>
      <c r="E29" s="3"/>
      <c r="F29" s="3">
        <v>4</v>
      </c>
      <c r="G29" s="3">
        <v>2.4499999999999997</v>
      </c>
      <c r="H29" s="1">
        <v>0</v>
      </c>
      <c r="I29" s="1">
        <v>8216.1508333333313</v>
      </c>
      <c r="J29" s="1">
        <v>1800.2083333333335</v>
      </c>
      <c r="K29" s="1">
        <v>0</v>
      </c>
      <c r="L29" s="1">
        <v>2592.3000000000002</v>
      </c>
      <c r="M29" s="1">
        <v>34000</v>
      </c>
      <c r="N29" s="1">
        <f t="shared" si="0"/>
        <v>6375</v>
      </c>
      <c r="P29" s="1">
        <v>1527.5</v>
      </c>
      <c r="Q29" s="1">
        <v>3500</v>
      </c>
      <c r="R29" s="1">
        <v>2912.5508999999997</v>
      </c>
      <c r="S29" s="1">
        <v>802.09166666666658</v>
      </c>
      <c r="T29" s="1"/>
      <c r="U29" s="1">
        <v>425000</v>
      </c>
      <c r="V29" s="4">
        <v>281237</v>
      </c>
      <c r="W29" s="13">
        <v>0.94267241026785131</v>
      </c>
      <c r="X29" s="13">
        <v>0.40849468263492572</v>
      </c>
      <c r="Y29" s="13">
        <v>0.6696119047619048</v>
      </c>
      <c r="Z29" s="12">
        <v>46071</v>
      </c>
      <c r="AA29" s="5"/>
      <c r="AB29" s="1">
        <v>86912.198266666674</v>
      </c>
      <c r="AC29" s="16">
        <v>1.257069902614288</v>
      </c>
      <c r="AD29" s="13">
        <v>0.21001273601414061</v>
      </c>
      <c r="AE29" s="14">
        <v>0.35</v>
      </c>
      <c r="AF29" s="14">
        <v>0</v>
      </c>
      <c r="AG29" s="14">
        <v>0</v>
      </c>
      <c r="AH29" s="14">
        <v>0.65</v>
      </c>
      <c r="AI29" s="6">
        <v>45644</v>
      </c>
    </row>
    <row r="30" spans="1:35" ht="15.75" x14ac:dyDescent="0.25">
      <c r="A30">
        <v>1128</v>
      </c>
      <c r="B30">
        <v>0</v>
      </c>
      <c r="C30" s="1">
        <v>3</v>
      </c>
      <c r="D30" s="2">
        <v>4.9833333333333334</v>
      </c>
      <c r="E30" s="3"/>
      <c r="F30" s="3">
        <v>4</v>
      </c>
      <c r="G30" s="3">
        <v>2.4499999999999997</v>
      </c>
      <c r="H30" s="1">
        <v>0</v>
      </c>
      <c r="I30" s="1">
        <v>1026.0555555555557</v>
      </c>
      <c r="J30" s="1">
        <v>1672.9166666666667</v>
      </c>
      <c r="K30" s="1">
        <v>0</v>
      </c>
      <c r="L30" s="1">
        <v>1739.8333333333335</v>
      </c>
      <c r="M30" s="1">
        <v>22000</v>
      </c>
      <c r="N30" s="1">
        <f t="shared" si="0"/>
        <v>4125</v>
      </c>
      <c r="P30" s="1">
        <v>1332.5</v>
      </c>
      <c r="Q30" s="1">
        <v>3500</v>
      </c>
      <c r="R30" s="1">
        <v>1656.1251750000001</v>
      </c>
      <c r="S30" s="1">
        <v>746.08333333333337</v>
      </c>
      <c r="T30" s="1"/>
      <c r="U30" s="1">
        <v>275000</v>
      </c>
      <c r="V30" s="4">
        <v>176373</v>
      </c>
      <c r="W30" s="13">
        <v>1.348245395904758</v>
      </c>
      <c r="X30" s="13">
        <v>0.71990986524236578</v>
      </c>
      <c r="Y30" s="13">
        <v>0.76683913043478258</v>
      </c>
      <c r="Z30" s="12">
        <v>46040</v>
      </c>
      <c r="AA30" s="5"/>
      <c r="AB30" s="1">
        <v>63453.48593611113</v>
      </c>
      <c r="AC30" s="16">
        <v>1.2999505154547129</v>
      </c>
      <c r="AD30" s="13">
        <v>0.26517637024419627</v>
      </c>
      <c r="AE30" s="14">
        <v>0.35</v>
      </c>
      <c r="AF30" s="14">
        <v>0</v>
      </c>
      <c r="AG30" s="14">
        <v>0</v>
      </c>
      <c r="AH30" s="14">
        <v>0.65</v>
      </c>
      <c r="AI30" s="6">
        <v>45644</v>
      </c>
    </row>
    <row r="31" spans="1:35" ht="15.75" x14ac:dyDescent="0.25">
      <c r="A31">
        <v>1131</v>
      </c>
      <c r="B31">
        <v>0</v>
      </c>
      <c r="C31" s="1">
        <v>3</v>
      </c>
      <c r="D31" s="2">
        <v>3.4666666666666668</v>
      </c>
      <c r="E31" s="3"/>
      <c r="F31" s="3">
        <v>4</v>
      </c>
      <c r="G31" s="3">
        <v>2.4499999999999997</v>
      </c>
      <c r="H31" s="1">
        <v>0</v>
      </c>
      <c r="I31" s="1">
        <v>3320.6888888888889</v>
      </c>
      <c r="J31" s="1">
        <v>1483.3333333333333</v>
      </c>
      <c r="K31" s="1">
        <v>0</v>
      </c>
      <c r="L31" s="1">
        <v>2373.333333333333</v>
      </c>
      <c r="M31" s="1">
        <v>30000</v>
      </c>
      <c r="N31" s="1">
        <f t="shared" si="0"/>
        <v>5625</v>
      </c>
      <c r="P31" s="1">
        <v>1365</v>
      </c>
      <c r="Q31" s="1">
        <v>3500</v>
      </c>
      <c r="R31" s="1">
        <v>1937.765625</v>
      </c>
      <c r="S31" s="1">
        <v>662.66666666666663</v>
      </c>
      <c r="T31" s="1"/>
      <c r="U31" s="1">
        <v>375000</v>
      </c>
      <c r="V31" s="4">
        <v>285306</v>
      </c>
      <c r="W31" s="13">
        <v>1.6945306061843424</v>
      </c>
      <c r="X31" s="13">
        <v>0.68733203119617148</v>
      </c>
      <c r="Y31" s="13">
        <v>0.78166027397260274</v>
      </c>
      <c r="Z31" s="12">
        <v>45979</v>
      </c>
      <c r="AA31" s="5"/>
      <c r="AB31" s="1">
        <v>43551.212152777764</v>
      </c>
      <c r="AC31" s="16">
        <v>1.1313965045268237</v>
      </c>
      <c r="AD31" s="13">
        <v>0.13296696391879359</v>
      </c>
      <c r="AE31" s="14">
        <v>0.35</v>
      </c>
      <c r="AF31" s="14">
        <v>0</v>
      </c>
      <c r="AG31" s="14">
        <v>0</v>
      </c>
      <c r="AH31" s="14">
        <v>0.65</v>
      </c>
      <c r="AI31" s="6">
        <v>45644</v>
      </c>
    </row>
    <row r="32" spans="1:35" ht="15.75" x14ac:dyDescent="0.25">
      <c r="A32">
        <v>1125</v>
      </c>
      <c r="B32">
        <v>0</v>
      </c>
      <c r="C32" s="1">
        <v>3</v>
      </c>
      <c r="D32" s="2">
        <v>4.1166666666666663</v>
      </c>
      <c r="E32" s="3"/>
      <c r="F32" s="3">
        <v>4</v>
      </c>
      <c r="G32" s="3">
        <v>2.4499999999999997</v>
      </c>
      <c r="H32" s="1">
        <v>0</v>
      </c>
      <c r="I32" s="1">
        <v>2925.1449999999995</v>
      </c>
      <c r="J32" s="1">
        <v>1564.5833333333333</v>
      </c>
      <c r="K32" s="1">
        <v>0</v>
      </c>
      <c r="L32" s="1">
        <v>1877.4999999999998</v>
      </c>
      <c r="M32" s="1">
        <v>30000</v>
      </c>
      <c r="N32" s="1">
        <f t="shared" si="0"/>
        <v>5625</v>
      </c>
      <c r="P32" s="1">
        <v>1690</v>
      </c>
      <c r="Q32" s="1">
        <v>3500</v>
      </c>
      <c r="R32" s="1">
        <v>2339.7892499999998</v>
      </c>
      <c r="S32" s="1">
        <v>698.41666666666663</v>
      </c>
      <c r="T32" s="1"/>
      <c r="U32" s="1">
        <v>375000</v>
      </c>
      <c r="V32" s="4">
        <v>261256</v>
      </c>
      <c r="W32" s="13">
        <v>1.1769778066503012</v>
      </c>
      <c r="X32" s="13">
        <v>0.56812363565116286</v>
      </c>
      <c r="Y32" s="13">
        <v>0.76390643274853798</v>
      </c>
      <c r="Z32" s="12">
        <v>46009</v>
      </c>
      <c r="AA32" s="5"/>
      <c r="AB32" s="1">
        <v>67648.565750000009</v>
      </c>
      <c r="AC32" s="16">
        <v>1.2201016758391783</v>
      </c>
      <c r="AD32" s="13">
        <v>0.21012363438979076</v>
      </c>
      <c r="AE32" s="14">
        <v>0.35</v>
      </c>
      <c r="AF32" s="14">
        <v>0</v>
      </c>
      <c r="AG32" s="14">
        <v>0</v>
      </c>
      <c r="AH32" s="14">
        <v>0.65</v>
      </c>
      <c r="AI32" s="6">
        <v>45644</v>
      </c>
    </row>
    <row r="33" spans="1:35" ht="15.75" x14ac:dyDescent="0.25">
      <c r="A33">
        <v>1073</v>
      </c>
      <c r="B33">
        <v>0</v>
      </c>
      <c r="C33" s="1">
        <v>3</v>
      </c>
      <c r="D33" s="2">
        <v>4.1166666666666663</v>
      </c>
      <c r="E33" s="3"/>
      <c r="F33" s="3">
        <v>4</v>
      </c>
      <c r="G33" s="3">
        <v>2.4499999999999997</v>
      </c>
      <c r="H33" s="1">
        <v>0</v>
      </c>
      <c r="I33" s="1">
        <v>2887.2549638888886</v>
      </c>
      <c r="J33" s="1">
        <v>1564.5833333333333</v>
      </c>
      <c r="K33" s="1">
        <v>0</v>
      </c>
      <c r="L33" s="1">
        <v>1877.4999999999998</v>
      </c>
      <c r="M33" s="1">
        <v>25600</v>
      </c>
      <c r="N33" s="1">
        <f t="shared" si="0"/>
        <v>4800</v>
      </c>
      <c r="P33" s="1">
        <v>1690</v>
      </c>
      <c r="Q33" s="1">
        <v>3500</v>
      </c>
      <c r="R33" s="1">
        <v>1997.4741750000001</v>
      </c>
      <c r="S33" s="1">
        <v>698.41666666666663</v>
      </c>
      <c r="T33" s="1"/>
      <c r="U33" s="1">
        <v>320000</v>
      </c>
      <c r="V33" s="4">
        <v>233958</v>
      </c>
      <c r="W33" s="13">
        <v>1.3268198602063439</v>
      </c>
      <c r="X33" s="13">
        <v>0.53376127074414093</v>
      </c>
      <c r="Y33" s="13">
        <v>0.693065142044613</v>
      </c>
      <c r="Z33" s="12">
        <v>46009</v>
      </c>
      <c r="AA33" s="5"/>
      <c r="AB33" s="1">
        <v>44726.770861111116</v>
      </c>
      <c r="AC33" s="16">
        <v>1.1624813680612009</v>
      </c>
      <c r="AD33" s="13">
        <v>0.15527926370576517</v>
      </c>
      <c r="AE33" s="14">
        <v>0.35</v>
      </c>
      <c r="AF33" s="14">
        <v>0</v>
      </c>
      <c r="AG33" s="14">
        <v>0</v>
      </c>
      <c r="AH33" s="14">
        <v>0.65</v>
      </c>
      <c r="AI33" s="6">
        <v>45644</v>
      </c>
    </row>
    <row r="34" spans="1:35" ht="15.75" x14ac:dyDescent="0.25">
      <c r="A34">
        <v>1079</v>
      </c>
      <c r="B34">
        <v>0</v>
      </c>
      <c r="C34" s="1">
        <v>3</v>
      </c>
      <c r="D34" s="2">
        <v>4.1166666666666663</v>
      </c>
      <c r="E34" s="3"/>
      <c r="F34" s="3">
        <v>4</v>
      </c>
      <c r="G34" s="3">
        <v>2.4499999999999997</v>
      </c>
      <c r="H34" s="1">
        <v>0</v>
      </c>
      <c r="I34" s="1">
        <v>2993.5694444444443</v>
      </c>
      <c r="J34" s="1">
        <v>1564.5833333333333</v>
      </c>
      <c r="K34" s="1">
        <v>0</v>
      </c>
      <c r="L34" s="1">
        <v>1877.4999999999998</v>
      </c>
      <c r="M34" s="1">
        <v>28000</v>
      </c>
      <c r="N34" s="1">
        <f t="shared" si="0"/>
        <v>5250</v>
      </c>
      <c r="P34" s="1">
        <v>1690</v>
      </c>
      <c r="Q34" s="1">
        <v>3500</v>
      </c>
      <c r="R34" s="1">
        <v>1656.0938999999998</v>
      </c>
      <c r="S34" s="1">
        <v>698.41666666666663</v>
      </c>
      <c r="T34" s="1"/>
      <c r="U34" s="1">
        <v>350000</v>
      </c>
      <c r="V34" s="4">
        <v>243386</v>
      </c>
      <c r="W34" s="13">
        <v>1.8605711441076129</v>
      </c>
      <c r="X34" s="13">
        <v>0.77634983710707617</v>
      </c>
      <c r="Y34" s="13">
        <v>0.69538857142857147</v>
      </c>
      <c r="Z34" s="12">
        <v>46009</v>
      </c>
      <c r="AA34" s="5"/>
      <c r="AB34" s="1">
        <v>63133.836655555526</v>
      </c>
      <c r="AC34" s="16">
        <v>1.220081155335667</v>
      </c>
      <c r="AD34" s="13">
        <v>0.21010412182121274</v>
      </c>
      <c r="AE34" s="14">
        <v>0.35</v>
      </c>
      <c r="AF34" s="14">
        <v>0</v>
      </c>
      <c r="AG34" s="14">
        <v>0</v>
      </c>
      <c r="AH34" s="14">
        <v>0.65</v>
      </c>
      <c r="AI34" s="6">
        <v>45644</v>
      </c>
    </row>
    <row r="35" spans="1:35" ht="15.75" x14ac:dyDescent="0.25">
      <c r="A35">
        <v>1070</v>
      </c>
      <c r="B35">
        <v>0</v>
      </c>
      <c r="C35" s="1">
        <v>3</v>
      </c>
      <c r="D35" s="2">
        <v>4.1166666666666663</v>
      </c>
      <c r="E35" s="3"/>
      <c r="F35" s="3">
        <v>4</v>
      </c>
      <c r="G35" s="3">
        <v>2.4499999999999997</v>
      </c>
      <c r="H35" s="1">
        <v>0</v>
      </c>
      <c r="I35" s="1">
        <v>4148.2319444444447</v>
      </c>
      <c r="J35" s="1">
        <v>1564.5833333333333</v>
      </c>
      <c r="K35" s="1">
        <v>0</v>
      </c>
      <c r="L35" s="1">
        <v>1877.4999999999998</v>
      </c>
      <c r="M35" s="1">
        <v>47920</v>
      </c>
      <c r="N35" s="1">
        <f t="shared" si="0"/>
        <v>8985</v>
      </c>
      <c r="P35" s="1">
        <v>1690</v>
      </c>
      <c r="Q35" s="1">
        <v>3500</v>
      </c>
      <c r="R35" s="1">
        <v>3473.1482999999998</v>
      </c>
      <c r="S35" s="1">
        <v>698.41666666666663</v>
      </c>
      <c r="T35" s="1"/>
      <c r="U35" s="1">
        <v>599000</v>
      </c>
      <c r="V35" s="4">
        <v>340245</v>
      </c>
      <c r="W35" s="13">
        <v>0.91197364342697629</v>
      </c>
      <c r="X35" s="13">
        <v>0.41283647774559062</v>
      </c>
      <c r="Y35" s="13">
        <v>0.70153608247422683</v>
      </c>
      <c r="Z35" s="12">
        <v>46009</v>
      </c>
      <c r="AA35" s="5"/>
      <c r="AB35" s="1">
        <v>192383.11975555553</v>
      </c>
      <c r="AC35" s="16">
        <v>1.473131168681195</v>
      </c>
      <c r="AD35" s="13">
        <v>0.44976195751494585</v>
      </c>
      <c r="AE35" s="14">
        <v>0.35</v>
      </c>
      <c r="AF35" s="14">
        <v>0</v>
      </c>
      <c r="AG35" s="14">
        <v>0</v>
      </c>
      <c r="AH35" s="14">
        <v>0.65</v>
      </c>
      <c r="AI35" s="6">
        <v>45644</v>
      </c>
    </row>
    <row r="36" spans="1:35" ht="15.75" x14ac:dyDescent="0.25">
      <c r="A36">
        <v>1110</v>
      </c>
      <c r="B36">
        <v>0</v>
      </c>
      <c r="C36" s="1">
        <v>3</v>
      </c>
      <c r="D36" s="2">
        <v>4.1166666666666663</v>
      </c>
      <c r="E36" s="3"/>
      <c r="F36" s="3">
        <v>4</v>
      </c>
      <c r="G36" s="3">
        <v>2.4499999999999997</v>
      </c>
      <c r="H36" s="1">
        <v>0</v>
      </c>
      <c r="I36" s="1">
        <v>1924.4375</v>
      </c>
      <c r="J36" s="1">
        <v>1564.5833333333333</v>
      </c>
      <c r="K36" s="1">
        <v>0</v>
      </c>
      <c r="L36" s="1">
        <v>1877.4999999999998</v>
      </c>
      <c r="M36" s="1">
        <v>20000</v>
      </c>
      <c r="N36" s="1">
        <f t="shared" si="0"/>
        <v>3750</v>
      </c>
      <c r="P36" s="1">
        <v>1690</v>
      </c>
      <c r="Q36" s="1">
        <v>3500</v>
      </c>
      <c r="R36" s="1">
        <v>1602.5520000000001</v>
      </c>
      <c r="S36" s="1">
        <v>698.41666666666663</v>
      </c>
      <c r="T36" s="1"/>
      <c r="U36" s="1">
        <v>250000</v>
      </c>
      <c r="V36" s="4">
        <v>170555</v>
      </c>
      <c r="W36" s="13">
        <v>1.3790736260608569</v>
      </c>
      <c r="X36" s="13">
        <v>0.62198856770753363</v>
      </c>
      <c r="Y36" s="13">
        <v>0.75802222222222226</v>
      </c>
      <c r="Z36" s="12">
        <v>46009</v>
      </c>
      <c r="AA36" s="5"/>
      <c r="AB36" s="1">
        <v>45087.510500000004</v>
      </c>
      <c r="AC36" s="16">
        <v>1.2200330034055831</v>
      </c>
      <c r="AD36" s="13">
        <v>0.21005833498518811</v>
      </c>
      <c r="AE36" s="14">
        <v>0.35</v>
      </c>
      <c r="AF36" s="14">
        <v>0</v>
      </c>
      <c r="AG36" s="14">
        <v>0</v>
      </c>
      <c r="AH36" s="14">
        <v>0.65</v>
      </c>
      <c r="AI36" s="6">
        <v>45644</v>
      </c>
    </row>
    <row r="37" spans="1:35" ht="15.75" x14ac:dyDescent="0.25">
      <c r="A37">
        <v>1087</v>
      </c>
      <c r="B37">
        <v>0</v>
      </c>
      <c r="C37" s="1">
        <v>3</v>
      </c>
      <c r="D37" s="2">
        <v>3.5966666666666667</v>
      </c>
      <c r="E37" s="3"/>
      <c r="F37" s="3">
        <v>4</v>
      </c>
      <c r="G37" s="3">
        <v>2.4499999999999997</v>
      </c>
      <c r="H37" s="1">
        <v>0</v>
      </c>
      <c r="I37" s="1">
        <v>5021.804666666666</v>
      </c>
      <c r="J37" s="1">
        <v>1499.5833333333333</v>
      </c>
      <c r="K37" s="1">
        <v>0</v>
      </c>
      <c r="L37" s="1">
        <v>2639.2666666666664</v>
      </c>
      <c r="M37" s="1">
        <v>23920</v>
      </c>
      <c r="N37" s="1">
        <f t="shared" si="0"/>
        <v>4485</v>
      </c>
      <c r="P37" s="1">
        <v>1332.5</v>
      </c>
      <c r="Q37" s="1">
        <v>3500</v>
      </c>
      <c r="R37" s="1">
        <v>1614.3352500000001</v>
      </c>
      <c r="S37" s="1">
        <v>669.81666666666661</v>
      </c>
      <c r="T37" s="1"/>
      <c r="U37" s="1">
        <v>299000</v>
      </c>
      <c r="V37" s="4">
        <v>204564.35860000001</v>
      </c>
      <c r="W37" s="13">
        <v>1.6333174864884503</v>
      </c>
      <c r="X37" s="13">
        <v>0.82</v>
      </c>
      <c r="Y37" s="13">
        <v>0.68416173444816053</v>
      </c>
      <c r="Z37" s="12">
        <v>45979</v>
      </c>
      <c r="AA37" s="5"/>
      <c r="AB37" s="1">
        <v>52738.334816666669</v>
      </c>
      <c r="AC37" s="16">
        <v>1.2141556818329999</v>
      </c>
      <c r="AD37" s="13">
        <v>0.21422114778308243</v>
      </c>
      <c r="AE37" s="14">
        <v>0.35</v>
      </c>
      <c r="AF37" s="14">
        <v>0</v>
      </c>
      <c r="AG37" s="14">
        <v>0</v>
      </c>
      <c r="AH37" s="14">
        <v>0.65</v>
      </c>
      <c r="AI37" s="6">
        <v>45644</v>
      </c>
    </row>
    <row r="38" spans="1:35" ht="15.75" x14ac:dyDescent="0.25">
      <c r="A38">
        <v>1080</v>
      </c>
      <c r="B38">
        <v>0</v>
      </c>
      <c r="C38" s="1">
        <v>3</v>
      </c>
      <c r="D38" s="2">
        <v>3.5966666666666667</v>
      </c>
      <c r="E38" s="3">
        <v>4</v>
      </c>
      <c r="F38" s="3">
        <v>4</v>
      </c>
      <c r="G38" s="3">
        <v>2.4499999999999997</v>
      </c>
      <c r="H38" s="1">
        <v>100000</v>
      </c>
      <c r="I38" s="1">
        <v>6718.5999999999995</v>
      </c>
      <c r="J38" s="1">
        <v>1999.5833333333333</v>
      </c>
      <c r="K38" s="1">
        <v>0</v>
      </c>
      <c r="L38" s="1">
        <v>3519.2666666666664</v>
      </c>
      <c r="M38" s="1">
        <v>42000</v>
      </c>
      <c r="N38" s="1">
        <f t="shared" si="0"/>
        <v>7875</v>
      </c>
      <c r="P38" s="1">
        <v>1332.5</v>
      </c>
      <c r="Q38" s="1">
        <v>3500</v>
      </c>
      <c r="R38" s="1">
        <v>1864.31385</v>
      </c>
      <c r="S38" s="1">
        <v>669.81666666666661</v>
      </c>
      <c r="T38" s="1"/>
      <c r="U38" s="1">
        <v>525000</v>
      </c>
      <c r="V38" s="4">
        <v>241227.99999999997</v>
      </c>
      <c r="W38" s="13">
        <v>1.5212216691161882</v>
      </c>
      <c r="X38" s="13">
        <v>0.67399238169670395</v>
      </c>
      <c r="Y38" s="13">
        <v>0.80409333333333322</v>
      </c>
      <c r="Z38" s="12">
        <v>46099</v>
      </c>
      <c r="AA38" s="5"/>
      <c r="AB38" s="1">
        <v>120667.91948333336</v>
      </c>
      <c r="AC38" s="16">
        <v>1.2984376587906172</v>
      </c>
      <c r="AD38" s="13">
        <v>0.21642000240346038</v>
      </c>
      <c r="AE38" s="14">
        <v>0.35</v>
      </c>
      <c r="AF38" s="14">
        <v>0</v>
      </c>
      <c r="AG38" s="14">
        <v>0</v>
      </c>
      <c r="AH38" s="14">
        <v>0.65</v>
      </c>
      <c r="AI38" s="6">
        <v>45644</v>
      </c>
    </row>
    <row r="39" spans="1:35" ht="15.75" x14ac:dyDescent="0.25">
      <c r="A39">
        <v>1075</v>
      </c>
      <c r="B39">
        <v>0</v>
      </c>
      <c r="C39" s="1">
        <v>3</v>
      </c>
      <c r="D39" s="2">
        <v>3.0333333333333337</v>
      </c>
      <c r="E39" s="3"/>
      <c r="F39" s="3">
        <v>4</v>
      </c>
      <c r="G39" s="3">
        <v>2.4499999999999997</v>
      </c>
      <c r="H39" s="1">
        <v>0</v>
      </c>
      <c r="I39" s="1">
        <v>2670.86897</v>
      </c>
      <c r="J39" s="1">
        <v>1429.1666666666667</v>
      </c>
      <c r="K39" s="1">
        <v>0</v>
      </c>
      <c r="L39" s="1">
        <v>2515.3333333333335</v>
      </c>
      <c r="M39" s="1">
        <v>30000</v>
      </c>
      <c r="N39" s="1">
        <f t="shared" si="0"/>
        <v>5625</v>
      </c>
      <c r="P39" s="1">
        <v>1365</v>
      </c>
      <c r="Q39" s="1">
        <v>3500</v>
      </c>
      <c r="R39" s="1">
        <v>1891.250325</v>
      </c>
      <c r="S39" s="1">
        <v>638.83333333333326</v>
      </c>
      <c r="T39" s="1"/>
      <c r="U39" s="1">
        <v>375000</v>
      </c>
      <c r="V39" s="4">
        <v>319184.41895398061</v>
      </c>
      <c r="W39" s="13">
        <v>1.9682487173476024</v>
      </c>
      <c r="X39" s="13">
        <v>0.9426645304683654</v>
      </c>
      <c r="Y39" s="13">
        <v>0.99060376073510792</v>
      </c>
      <c r="Z39" s="12">
        <v>45979</v>
      </c>
      <c r="AA39" s="5"/>
      <c r="AB39" s="1">
        <v>10305.128417686035</v>
      </c>
      <c r="AC39" s="16">
        <v>1.0282568503718597</v>
      </c>
      <c r="AD39" s="13">
        <v>2.9677919606448055E-2</v>
      </c>
      <c r="AE39" s="14">
        <v>0.35</v>
      </c>
      <c r="AF39" s="14">
        <v>0</v>
      </c>
      <c r="AG39" s="14">
        <v>0</v>
      </c>
      <c r="AH39" s="14">
        <v>0.65</v>
      </c>
      <c r="AI39" s="6">
        <v>45644</v>
      </c>
    </row>
    <row r="40" spans="1:35" ht="15.75" x14ac:dyDescent="0.25">
      <c r="A40">
        <v>1121</v>
      </c>
      <c r="B40">
        <v>0</v>
      </c>
      <c r="C40" s="1">
        <v>3</v>
      </c>
      <c r="D40" s="2">
        <v>4.9833333333333334</v>
      </c>
      <c r="E40" s="3"/>
      <c r="F40" s="3">
        <v>4</v>
      </c>
      <c r="G40" s="3">
        <v>2.4499999999999997</v>
      </c>
      <c r="H40" s="1">
        <v>0</v>
      </c>
      <c r="I40" s="1">
        <v>3027.979166666667</v>
      </c>
      <c r="J40" s="1">
        <v>1672.9166666666667</v>
      </c>
      <c r="K40" s="1">
        <v>0</v>
      </c>
      <c r="L40" s="1">
        <v>2676.666666666667</v>
      </c>
      <c r="M40" s="1">
        <v>30000</v>
      </c>
      <c r="N40" s="1">
        <f t="shared" si="0"/>
        <v>5625</v>
      </c>
      <c r="P40" s="1">
        <v>1625</v>
      </c>
      <c r="Q40" s="1">
        <v>3500</v>
      </c>
      <c r="R40" s="1">
        <v>2536.8563999999997</v>
      </c>
      <c r="S40" s="1">
        <v>746.08333333333337</v>
      </c>
      <c r="T40" s="1"/>
      <c r="U40" s="1">
        <v>375000</v>
      </c>
      <c r="V40" s="4">
        <v>275102</v>
      </c>
      <c r="W40" s="13">
        <v>1.1081762266950341</v>
      </c>
      <c r="X40" s="13">
        <v>0.68907973857040827</v>
      </c>
      <c r="Y40" s="13">
        <v>0.75995027624309397</v>
      </c>
      <c r="Z40" s="12">
        <v>46040</v>
      </c>
      <c r="AA40" s="5"/>
      <c r="AB40" s="1">
        <v>52612.497766666696</v>
      </c>
      <c r="AC40" s="16">
        <v>1.1631964558247283</v>
      </c>
      <c r="AD40" s="13">
        <v>0.14516222036576831</v>
      </c>
      <c r="AE40" s="14">
        <v>0.35</v>
      </c>
      <c r="AF40" s="14">
        <v>0</v>
      </c>
      <c r="AG40" s="14">
        <v>0</v>
      </c>
      <c r="AH40" s="14">
        <v>0.65</v>
      </c>
      <c r="AI40" s="6">
        <v>45644</v>
      </c>
    </row>
    <row r="41" spans="1:35" ht="15.75" x14ac:dyDescent="0.25">
      <c r="A41">
        <v>1105</v>
      </c>
      <c r="B41">
        <v>0</v>
      </c>
      <c r="C41" s="1">
        <v>3</v>
      </c>
      <c r="D41" s="2">
        <v>4.9833333333333334</v>
      </c>
      <c r="E41" s="3">
        <v>4</v>
      </c>
      <c r="F41" s="3">
        <v>4</v>
      </c>
      <c r="G41" s="3">
        <v>2.4499999999999997</v>
      </c>
      <c r="H41" s="1">
        <v>25000</v>
      </c>
      <c r="I41" s="1">
        <v>5758.2291666666661</v>
      </c>
      <c r="J41" s="1">
        <v>2172.9166666666665</v>
      </c>
      <c r="K41" s="1">
        <v>0</v>
      </c>
      <c r="L41" s="1">
        <v>3476.6666666666665</v>
      </c>
      <c r="M41" s="1">
        <v>47600</v>
      </c>
      <c r="N41" s="1">
        <f t="shared" si="0"/>
        <v>8925</v>
      </c>
      <c r="P41" s="1">
        <v>1625</v>
      </c>
      <c r="Q41" s="1">
        <v>3500</v>
      </c>
      <c r="R41" s="1">
        <v>3261.9377999999997</v>
      </c>
      <c r="S41" s="1">
        <v>746.08333333333337</v>
      </c>
      <c r="T41" s="1"/>
      <c r="U41" s="1">
        <v>595000</v>
      </c>
      <c r="V41" s="4">
        <v>376677</v>
      </c>
      <c r="W41" s="13">
        <v>1.092054667877983</v>
      </c>
      <c r="X41" s="13">
        <v>0.69755276437576996</v>
      </c>
      <c r="Y41" s="13">
        <v>0.71071132075471699</v>
      </c>
      <c r="Z41" s="12">
        <v>46160</v>
      </c>
      <c r="AA41" s="5"/>
      <c r="AB41" s="1">
        <v>123682.16636666667</v>
      </c>
      <c r="AC41" s="16">
        <v>1.2624177519726243</v>
      </c>
      <c r="AD41" s="13">
        <v>0.17452469981453755</v>
      </c>
      <c r="AE41" s="14">
        <v>0.35</v>
      </c>
      <c r="AF41" s="14">
        <v>0</v>
      </c>
      <c r="AG41" s="14">
        <v>0</v>
      </c>
      <c r="AH41" s="14">
        <v>0.65</v>
      </c>
      <c r="AI41" s="6">
        <v>45644</v>
      </c>
    </row>
    <row r="42" spans="1:35" ht="15.75" x14ac:dyDescent="0.25">
      <c r="A42">
        <v>1114</v>
      </c>
      <c r="B42">
        <v>0</v>
      </c>
      <c r="C42" s="1">
        <v>3</v>
      </c>
      <c r="D42" s="2">
        <v>4.9833333333333334</v>
      </c>
      <c r="E42" s="3"/>
      <c r="F42" s="3">
        <v>4</v>
      </c>
      <c r="G42" s="3">
        <v>2.4499999999999997</v>
      </c>
      <c r="H42" s="1">
        <v>0</v>
      </c>
      <c r="I42" s="1">
        <v>2551.197916666667</v>
      </c>
      <c r="J42" s="1">
        <v>1672.9166666666667</v>
      </c>
      <c r="K42" s="1">
        <v>0</v>
      </c>
      <c r="L42" s="1">
        <v>2676.666666666667</v>
      </c>
      <c r="M42" s="1">
        <v>26000</v>
      </c>
      <c r="N42" s="1">
        <f t="shared" si="0"/>
        <v>4875</v>
      </c>
      <c r="P42" s="1">
        <v>1625</v>
      </c>
      <c r="Q42" s="1">
        <v>3500</v>
      </c>
      <c r="R42" s="1">
        <v>1852.3196999999998</v>
      </c>
      <c r="S42" s="1">
        <v>746.08333333333337</v>
      </c>
      <c r="T42" s="1"/>
      <c r="U42" s="1">
        <v>325000</v>
      </c>
      <c r="V42" s="4">
        <v>220622.99999999997</v>
      </c>
      <c r="W42" s="13">
        <v>1.4054572432619619</v>
      </c>
      <c r="X42" s="13">
        <v>0.67155914175531273</v>
      </c>
      <c r="Y42" s="13">
        <v>0.72335409836065567</v>
      </c>
      <c r="Z42" s="12">
        <v>46040</v>
      </c>
      <c r="AA42" s="5"/>
      <c r="AB42" s="1">
        <v>62252.815716666693</v>
      </c>
      <c r="AC42" s="16">
        <v>1.2369304770533198</v>
      </c>
      <c r="AD42" s="13">
        <v>0.21004148621388041</v>
      </c>
      <c r="AE42" s="14">
        <v>0.35</v>
      </c>
      <c r="AF42" s="14">
        <v>0</v>
      </c>
      <c r="AG42" s="14">
        <v>0</v>
      </c>
      <c r="AH42" s="14">
        <v>0.65</v>
      </c>
      <c r="AI42" s="6">
        <v>45644</v>
      </c>
    </row>
    <row r="43" spans="1:35" ht="15.75" x14ac:dyDescent="0.25">
      <c r="A43">
        <v>1113</v>
      </c>
      <c r="B43">
        <v>0</v>
      </c>
      <c r="C43" s="1">
        <v>3</v>
      </c>
      <c r="D43" s="2">
        <v>4.9833333333333334</v>
      </c>
      <c r="E43" s="3"/>
      <c r="F43" s="3">
        <v>4</v>
      </c>
      <c r="G43" s="3">
        <v>2.4499999999999997</v>
      </c>
      <c r="H43" s="1">
        <v>0</v>
      </c>
      <c r="I43" s="1">
        <v>2425.7291666666665</v>
      </c>
      <c r="J43" s="1">
        <v>1672.9166666666667</v>
      </c>
      <c r="K43" s="1">
        <v>0</v>
      </c>
      <c r="L43" s="1">
        <v>2676.666666666667</v>
      </c>
      <c r="M43" s="1">
        <v>26000</v>
      </c>
      <c r="N43" s="1">
        <f t="shared" si="0"/>
        <v>4875</v>
      </c>
      <c r="P43" s="1">
        <v>1625</v>
      </c>
      <c r="Q43" s="1">
        <v>3500</v>
      </c>
      <c r="R43" s="1">
        <v>2002.902975</v>
      </c>
      <c r="S43" s="1">
        <v>746.08333333333337</v>
      </c>
      <c r="T43" s="1"/>
      <c r="U43" s="1">
        <v>325000</v>
      </c>
      <c r="V43" s="4">
        <v>220598</v>
      </c>
      <c r="W43" s="13">
        <v>1.245938168035206</v>
      </c>
      <c r="X43" s="13">
        <v>0.58943062222447729</v>
      </c>
      <c r="Y43" s="13">
        <v>0.76068275862068968</v>
      </c>
      <c r="Z43" s="12">
        <v>46040</v>
      </c>
      <c r="AA43" s="5"/>
      <c r="AB43" s="1">
        <v>62252.701191666652</v>
      </c>
      <c r="AC43" s="16">
        <v>1.2369299379061485</v>
      </c>
      <c r="AD43" s="13">
        <v>0.21004101330304814</v>
      </c>
      <c r="AE43" s="14">
        <v>0.35</v>
      </c>
      <c r="AF43" s="14">
        <v>0</v>
      </c>
      <c r="AG43" s="14">
        <v>0</v>
      </c>
      <c r="AH43" s="14">
        <v>0.65</v>
      </c>
      <c r="AI43" s="6">
        <v>45644</v>
      </c>
    </row>
    <row r="44" spans="1:35" ht="15.75" x14ac:dyDescent="0.25">
      <c r="A44">
        <v>1134</v>
      </c>
      <c r="B44">
        <v>0</v>
      </c>
      <c r="C44" s="1">
        <v>3</v>
      </c>
      <c r="D44" s="2">
        <v>3.9649999999999999</v>
      </c>
      <c r="E44" s="3"/>
      <c r="F44" s="3">
        <v>4</v>
      </c>
      <c r="G44" s="3">
        <v>2.4499999999999997</v>
      </c>
      <c r="H44" s="1">
        <v>0</v>
      </c>
      <c r="I44" s="1">
        <v>3117.010416666667</v>
      </c>
      <c r="J44" s="1">
        <v>1545.625</v>
      </c>
      <c r="K44" s="1">
        <v>0</v>
      </c>
      <c r="L44" s="1">
        <v>2473</v>
      </c>
      <c r="M44" s="1">
        <v>39600</v>
      </c>
      <c r="N44" s="1">
        <f t="shared" si="0"/>
        <v>7425</v>
      </c>
      <c r="P44" s="1">
        <v>2193.75</v>
      </c>
      <c r="Q44" s="1">
        <v>3500</v>
      </c>
      <c r="R44" s="1">
        <v>3785.4695999999999</v>
      </c>
      <c r="S44" s="1">
        <v>690.07499999999993</v>
      </c>
      <c r="T44" s="1"/>
      <c r="U44" s="1">
        <v>495000</v>
      </c>
      <c r="V44" s="4">
        <v>385259.00000000006</v>
      </c>
      <c r="W44" s="13">
        <v>0.92894092261824401</v>
      </c>
      <c r="X44" s="13">
        <v>0.40755853250111607</v>
      </c>
      <c r="Y44" s="13">
        <v>0.70047090909090914</v>
      </c>
      <c r="Z44" s="12">
        <v>46009</v>
      </c>
      <c r="AA44" s="5"/>
      <c r="AB44" s="1">
        <v>51336.069983333291</v>
      </c>
      <c r="AC44" s="16">
        <v>1.1157093613208646</v>
      </c>
      <c r="AD44" s="13">
        <v>0.11210918118630531</v>
      </c>
      <c r="AE44" s="14">
        <v>0.35</v>
      </c>
      <c r="AF44" s="14">
        <v>0</v>
      </c>
      <c r="AG44" s="14">
        <v>0</v>
      </c>
      <c r="AH44" s="14">
        <v>0.65</v>
      </c>
      <c r="AI44" s="6">
        <v>45644</v>
      </c>
    </row>
    <row r="45" spans="1:35" ht="15.75" x14ac:dyDescent="0.25">
      <c r="A45">
        <v>1091</v>
      </c>
      <c r="B45">
        <v>0</v>
      </c>
      <c r="C45" s="1">
        <v>3</v>
      </c>
      <c r="D45" s="2">
        <v>7.0200000000000005</v>
      </c>
      <c r="E45" s="3">
        <v>4</v>
      </c>
      <c r="F45" s="3">
        <v>4</v>
      </c>
      <c r="G45" s="3">
        <v>2.4499999999999997</v>
      </c>
      <c r="H45" s="1">
        <v>75000</v>
      </c>
      <c r="I45" s="1">
        <v>3366.1333333333337</v>
      </c>
      <c r="J45" s="1">
        <v>2427.5</v>
      </c>
      <c r="K45" s="1">
        <v>0</v>
      </c>
      <c r="L45" s="1">
        <v>3301.4</v>
      </c>
      <c r="M45" s="1">
        <v>63960</v>
      </c>
      <c r="N45" s="1">
        <f t="shared" si="0"/>
        <v>11992.5</v>
      </c>
      <c r="P45" s="1">
        <v>3250</v>
      </c>
      <c r="Q45" s="1">
        <v>3500</v>
      </c>
      <c r="R45" s="1">
        <v>3113.8217249999998</v>
      </c>
      <c r="S45" s="1">
        <v>858.1</v>
      </c>
      <c r="T45" s="1"/>
      <c r="U45" s="1">
        <v>799500</v>
      </c>
      <c r="V45" s="4">
        <v>476983</v>
      </c>
      <c r="W45" s="13">
        <v>1.4668446091523972</v>
      </c>
      <c r="X45" s="13">
        <v>0.63402866735849595</v>
      </c>
      <c r="Y45" s="13">
        <v>0.73382000000000003</v>
      </c>
      <c r="Z45" s="12">
        <v>46221</v>
      </c>
      <c r="AA45" s="5"/>
      <c r="AB45" s="1">
        <v>162240.04494166665</v>
      </c>
      <c r="AC45" s="16">
        <v>1.2545900517581017</v>
      </c>
      <c r="AD45" s="13">
        <v>0.15044596228704266</v>
      </c>
      <c r="AE45" s="14">
        <v>0.35</v>
      </c>
      <c r="AF45" s="14">
        <v>0</v>
      </c>
      <c r="AG45" s="14">
        <v>0</v>
      </c>
      <c r="AH45" s="14">
        <v>0.65</v>
      </c>
      <c r="AI45" s="6">
        <v>45644</v>
      </c>
    </row>
    <row r="46" spans="1:35" ht="15.75" x14ac:dyDescent="0.25">
      <c r="A46">
        <v>1090</v>
      </c>
      <c r="B46">
        <v>0</v>
      </c>
      <c r="C46" s="1">
        <v>3</v>
      </c>
      <c r="D46" s="2">
        <v>6.0666666666666673</v>
      </c>
      <c r="E46" s="3">
        <v>4</v>
      </c>
      <c r="F46" s="3">
        <v>4</v>
      </c>
      <c r="G46" s="3">
        <v>2.4499999999999997</v>
      </c>
      <c r="H46" s="1">
        <v>10000</v>
      </c>
      <c r="I46" s="1">
        <v>4085.75</v>
      </c>
      <c r="J46" s="1">
        <v>2308.3333333333335</v>
      </c>
      <c r="K46" s="1">
        <v>0</v>
      </c>
      <c r="L46" s="1">
        <v>2770.0000000000005</v>
      </c>
      <c r="M46" s="1">
        <v>39920</v>
      </c>
      <c r="N46" s="1">
        <f t="shared" si="0"/>
        <v>7485</v>
      </c>
      <c r="P46" s="1">
        <v>2340</v>
      </c>
      <c r="Q46" s="1">
        <v>3500</v>
      </c>
      <c r="R46" s="1">
        <v>2469.8981249999997</v>
      </c>
      <c r="S46" s="1">
        <v>805.66666666666663</v>
      </c>
      <c r="T46" s="1"/>
      <c r="U46" s="1">
        <v>499000</v>
      </c>
      <c r="V46" s="4">
        <v>332388</v>
      </c>
      <c r="W46" s="13">
        <v>1.3888866255292345</v>
      </c>
      <c r="X46" s="13">
        <v>0.76716030968083937</v>
      </c>
      <c r="Y46" s="13">
        <v>0.73863999999999996</v>
      </c>
      <c r="Z46" s="12">
        <v>46191</v>
      </c>
      <c r="AA46" s="5"/>
      <c r="AB46" s="1">
        <v>96912.351874999993</v>
      </c>
      <c r="AC46" s="16">
        <v>1.2410229519034419</v>
      </c>
      <c r="AD46" s="13">
        <v>0.15064128129288767</v>
      </c>
      <c r="AE46" s="14">
        <v>0.35</v>
      </c>
      <c r="AF46" s="14">
        <v>0</v>
      </c>
      <c r="AG46" s="14">
        <v>0</v>
      </c>
      <c r="AH46" s="14">
        <v>0.65</v>
      </c>
      <c r="AI46" s="6">
        <v>45644</v>
      </c>
    </row>
    <row r="47" spans="1:35" ht="15.75" x14ac:dyDescent="0.25">
      <c r="A47">
        <v>1093</v>
      </c>
      <c r="B47">
        <v>0</v>
      </c>
      <c r="C47" s="1">
        <v>3</v>
      </c>
      <c r="D47" s="2">
        <v>6.4350000000000005</v>
      </c>
      <c r="E47" s="3"/>
      <c r="F47" s="3">
        <v>4</v>
      </c>
      <c r="G47" s="3">
        <v>2.4499999999999997</v>
      </c>
      <c r="H47" s="1">
        <v>0</v>
      </c>
      <c r="I47" s="1">
        <v>3025.5354484999998</v>
      </c>
      <c r="J47" s="1">
        <v>1854.3749999999998</v>
      </c>
      <c r="K47" s="1">
        <v>0</v>
      </c>
      <c r="L47" s="1">
        <v>3412.0499999999997</v>
      </c>
      <c r="M47" s="1">
        <v>29222.080000000002</v>
      </c>
      <c r="N47" s="1">
        <f t="shared" si="0"/>
        <v>5479.1399999999994</v>
      </c>
      <c r="P47" s="1">
        <v>3250</v>
      </c>
      <c r="Q47" s="1">
        <v>3500</v>
      </c>
      <c r="R47" s="1">
        <v>1887.7160249999999</v>
      </c>
      <c r="S47" s="1">
        <v>825.92499999999995</v>
      </c>
      <c r="T47" s="1"/>
      <c r="U47" s="1">
        <v>365276</v>
      </c>
      <c r="V47" s="4">
        <v>180771.52618841641</v>
      </c>
      <c r="W47" s="13">
        <v>1.1179752047995928</v>
      </c>
      <c r="X47" s="13">
        <v>0.64589886513421269</v>
      </c>
      <c r="Y47" s="13">
        <v>0.49489023693978362</v>
      </c>
      <c r="Z47" s="12">
        <v>46071</v>
      </c>
      <c r="AA47" s="5"/>
      <c r="AB47" s="1">
        <v>136026.79233808359</v>
      </c>
      <c r="AC47" s="16">
        <v>1.5933577425431633</v>
      </c>
      <c r="AD47" s="13">
        <v>0.45764173606824343</v>
      </c>
      <c r="AE47" s="14">
        <v>0.35</v>
      </c>
      <c r="AF47" s="14">
        <v>0</v>
      </c>
      <c r="AG47" s="14">
        <v>0</v>
      </c>
      <c r="AH47" s="14">
        <v>0.65</v>
      </c>
      <c r="AI47" s="6">
        <v>45644</v>
      </c>
    </row>
    <row r="48" spans="1:35" ht="15.75" x14ac:dyDescent="0.25">
      <c r="A48">
        <v>1082</v>
      </c>
      <c r="B48">
        <v>0</v>
      </c>
      <c r="C48" s="1">
        <v>3</v>
      </c>
      <c r="D48" s="2">
        <v>6.4350000000000005</v>
      </c>
      <c r="E48" s="3"/>
      <c r="F48" s="3">
        <v>4</v>
      </c>
      <c r="G48" s="3">
        <v>2.4499999999999997</v>
      </c>
      <c r="H48" s="1">
        <v>0</v>
      </c>
      <c r="I48" s="1">
        <v>1027.0764999999999</v>
      </c>
      <c r="J48" s="1">
        <v>1854.3749999999998</v>
      </c>
      <c r="K48" s="1">
        <v>0</v>
      </c>
      <c r="L48" s="1">
        <v>3412.0499999999997</v>
      </c>
      <c r="M48" s="1">
        <v>9920</v>
      </c>
      <c r="N48" s="1">
        <f t="shared" si="0"/>
        <v>1860</v>
      </c>
      <c r="P48" s="1">
        <v>3250</v>
      </c>
      <c r="Q48" s="1">
        <v>3500</v>
      </c>
      <c r="R48" s="1">
        <v>1036.9330500000001</v>
      </c>
      <c r="S48" s="1">
        <v>825.92499999999995</v>
      </c>
      <c r="T48" s="1"/>
      <c r="U48" s="1">
        <v>124000</v>
      </c>
      <c r="V48" s="4">
        <v>71897</v>
      </c>
      <c r="W48" s="13">
        <v>1.4898542700093291</v>
      </c>
      <c r="X48" s="13">
        <v>0.64369184764727083</v>
      </c>
      <c r="Y48" s="13">
        <v>0.57981451612903223</v>
      </c>
      <c r="Z48" s="12">
        <v>46071</v>
      </c>
      <c r="AA48" s="5"/>
      <c r="AB48" s="1">
        <v>26036.640450000006</v>
      </c>
      <c r="AC48" s="16">
        <v>1.2657793747539969</v>
      </c>
      <c r="AD48" s="13">
        <v>0.2100329060095798</v>
      </c>
      <c r="AE48" s="14">
        <v>0.35</v>
      </c>
      <c r="AF48" s="14">
        <v>0</v>
      </c>
      <c r="AG48" s="14">
        <v>0</v>
      </c>
      <c r="AH48" s="14">
        <v>0.65</v>
      </c>
      <c r="AI48" s="6">
        <v>45644</v>
      </c>
    </row>
    <row r="49" spans="1:35" ht="15.75" x14ac:dyDescent="0.25">
      <c r="A49">
        <v>1086</v>
      </c>
      <c r="B49">
        <v>0</v>
      </c>
      <c r="C49" s="1">
        <v>3</v>
      </c>
      <c r="D49" s="2">
        <v>6.4350000000000005</v>
      </c>
      <c r="E49" s="3"/>
      <c r="F49" s="3">
        <v>4</v>
      </c>
      <c r="G49" s="3">
        <v>2.4499999999999997</v>
      </c>
      <c r="H49" s="1">
        <v>0</v>
      </c>
      <c r="I49" s="1">
        <v>2402.0337499999996</v>
      </c>
      <c r="J49" s="1">
        <v>1854.3749999999998</v>
      </c>
      <c r="K49" s="1">
        <v>0</v>
      </c>
      <c r="L49" s="1">
        <v>3412.0499999999997</v>
      </c>
      <c r="M49" s="1">
        <v>23200</v>
      </c>
      <c r="N49" s="1">
        <f t="shared" si="0"/>
        <v>4350</v>
      </c>
      <c r="P49" s="1">
        <v>3250</v>
      </c>
      <c r="Q49" s="1">
        <v>3500</v>
      </c>
      <c r="R49" s="1">
        <v>1829.4343499999998</v>
      </c>
      <c r="S49" s="1">
        <v>825.92499999999995</v>
      </c>
      <c r="T49" s="1"/>
      <c r="U49" s="1">
        <v>290000</v>
      </c>
      <c r="V49" s="4">
        <v>187212</v>
      </c>
      <c r="W49" s="13">
        <v>1.216257988165373</v>
      </c>
      <c r="X49" s="13">
        <v>0.57630693617591244</v>
      </c>
      <c r="Y49" s="13">
        <v>0.64555862068965519</v>
      </c>
      <c r="Z49" s="12">
        <v>46071</v>
      </c>
      <c r="AA49" s="5"/>
      <c r="AB49" s="1">
        <v>61014.181899999996</v>
      </c>
      <c r="AC49" s="16">
        <v>1.2664539769591958</v>
      </c>
      <c r="AD49" s="13">
        <v>0.2105545311395205</v>
      </c>
      <c r="AE49" s="14">
        <v>0.35</v>
      </c>
      <c r="AF49" s="14">
        <v>0</v>
      </c>
      <c r="AG49" s="14">
        <v>0</v>
      </c>
      <c r="AH49" s="14">
        <v>0.65</v>
      </c>
      <c r="AI49" s="6">
        <v>45644</v>
      </c>
    </row>
    <row r="50" spans="1:35" ht="15.75" x14ac:dyDescent="0.25">
      <c r="A50">
        <v>1120</v>
      </c>
      <c r="B50">
        <v>0</v>
      </c>
      <c r="C50" s="1">
        <v>3</v>
      </c>
      <c r="D50" s="2">
        <v>6.0666666666666673</v>
      </c>
      <c r="E50" s="3"/>
      <c r="F50" s="3">
        <v>4</v>
      </c>
      <c r="G50" s="3">
        <v>2.4499999999999997</v>
      </c>
      <c r="H50" s="1">
        <v>0</v>
      </c>
      <c r="I50" s="1">
        <v>5101.3083333333343</v>
      </c>
      <c r="J50" s="1">
        <v>1808.3333333333335</v>
      </c>
      <c r="K50" s="1">
        <v>0</v>
      </c>
      <c r="L50" s="1">
        <v>2604.0000000000005</v>
      </c>
      <c r="M50" s="1">
        <v>43200</v>
      </c>
      <c r="N50" s="1">
        <f t="shared" si="0"/>
        <v>8100</v>
      </c>
      <c r="P50" s="1">
        <v>1950</v>
      </c>
      <c r="Q50" s="1">
        <v>3500</v>
      </c>
      <c r="R50" s="1">
        <v>2034.2057249999998</v>
      </c>
      <c r="S50" s="1">
        <v>805.66666666666663</v>
      </c>
      <c r="T50" s="1"/>
      <c r="U50" s="1">
        <v>540000</v>
      </c>
      <c r="V50" s="4">
        <v>305873</v>
      </c>
      <c r="W50" s="13">
        <v>1.6877853424285718</v>
      </c>
      <c r="X50" s="13">
        <v>0.72709572286398028</v>
      </c>
      <c r="Y50" s="13">
        <v>0.67224835164835162</v>
      </c>
      <c r="Z50" s="12">
        <v>46071</v>
      </c>
      <c r="AA50" s="5"/>
      <c r="AB50" s="1">
        <v>171623.48594166664</v>
      </c>
      <c r="AC50" s="16">
        <v>1.4658914979430246</v>
      </c>
      <c r="AD50" s="13">
        <v>0.37334710537278704</v>
      </c>
      <c r="AE50" s="14">
        <v>0.35</v>
      </c>
      <c r="AF50" s="14">
        <v>0</v>
      </c>
      <c r="AG50" s="14">
        <v>0</v>
      </c>
      <c r="AH50" s="14">
        <v>0.65</v>
      </c>
      <c r="AI50" s="6">
        <v>45644</v>
      </c>
    </row>
    <row r="51" spans="1:35" ht="15.75" x14ac:dyDescent="0.25">
      <c r="A51">
        <v>1123</v>
      </c>
      <c r="B51">
        <v>0</v>
      </c>
      <c r="C51">
        <v>3</v>
      </c>
      <c r="D51">
        <v>7.1999999999999993</v>
      </c>
      <c r="E51">
        <v>3</v>
      </c>
      <c r="F51">
        <v>4</v>
      </c>
      <c r="G51">
        <v>2.4000000000000004</v>
      </c>
      <c r="H51">
        <v>75000</v>
      </c>
      <c r="I51">
        <v>8234</v>
      </c>
      <c r="J51">
        <v>2300</v>
      </c>
      <c r="K51">
        <v>0</v>
      </c>
      <c r="L51">
        <v>4047.9999999999995</v>
      </c>
      <c r="M51">
        <v>39600</v>
      </c>
      <c r="N51" s="1">
        <f t="shared" si="0"/>
        <v>7425</v>
      </c>
      <c r="P51">
        <v>2700</v>
      </c>
      <c r="Q51">
        <v>4000</v>
      </c>
      <c r="R51">
        <v>2106.1584000000003</v>
      </c>
      <c r="S51">
        <v>857</v>
      </c>
      <c r="T51" s="1"/>
      <c r="U51">
        <v>495000</v>
      </c>
      <c r="V51">
        <v>225065.1</v>
      </c>
      <c r="W51" s="14">
        <v>0.78630394790681457</v>
      </c>
      <c r="X51" s="14">
        <v>0.43724026940974681</v>
      </c>
      <c r="Y51" s="14">
        <v>0.75021700000000002</v>
      </c>
      <c r="Z51" s="6">
        <v>46192</v>
      </c>
      <c r="AB51">
        <v>88558.583199999994</v>
      </c>
      <c r="AC51" s="17">
        <v>1.2178876943625494</v>
      </c>
      <c r="AD51" s="14">
        <v>0.13718418229668861</v>
      </c>
      <c r="AE51" s="14">
        <v>0.4</v>
      </c>
      <c r="AF51" s="14">
        <v>0</v>
      </c>
      <c r="AG51" s="14">
        <v>0</v>
      </c>
      <c r="AH51" s="14">
        <v>0.6</v>
      </c>
      <c r="AI51" s="6">
        <v>45644</v>
      </c>
    </row>
    <row r="52" spans="1:35" ht="15.75" x14ac:dyDescent="0.25">
      <c r="A52">
        <v>1085</v>
      </c>
      <c r="B52">
        <v>0</v>
      </c>
      <c r="C52">
        <v>3</v>
      </c>
      <c r="D52">
        <v>7.1999999999999993</v>
      </c>
      <c r="F52">
        <v>4</v>
      </c>
      <c r="G52">
        <v>2.4000000000000004</v>
      </c>
      <c r="H52">
        <v>0</v>
      </c>
      <c r="I52">
        <v>8614.375</v>
      </c>
      <c r="J52">
        <v>1925</v>
      </c>
      <c r="K52">
        <v>0</v>
      </c>
      <c r="L52">
        <v>3388</v>
      </c>
      <c r="M52">
        <v>34000</v>
      </c>
      <c r="N52" s="1">
        <f t="shared" si="0"/>
        <v>6375</v>
      </c>
      <c r="P52">
        <v>2700</v>
      </c>
      <c r="Q52">
        <v>4000</v>
      </c>
      <c r="R52">
        <v>2030.3347000000001</v>
      </c>
      <c r="S52">
        <v>857</v>
      </c>
      <c r="T52" s="1"/>
      <c r="U52">
        <v>425000</v>
      </c>
      <c r="V52">
        <v>268903.125</v>
      </c>
      <c r="W52" s="14">
        <v>0.99201741459139203</v>
      </c>
      <c r="X52" s="14">
        <v>0.52422338105413213</v>
      </c>
      <c r="Y52" s="14">
        <v>0.71707500000000002</v>
      </c>
      <c r="Z52" s="6">
        <v>46100</v>
      </c>
      <c r="AB52">
        <v>61706.830599999987</v>
      </c>
      <c r="AC52" s="17">
        <v>1.1698540897477165</v>
      </c>
      <c r="AD52" s="14">
        <v>0.1300291186430873</v>
      </c>
      <c r="AE52" s="14">
        <v>0.4</v>
      </c>
      <c r="AF52" s="14">
        <v>0</v>
      </c>
      <c r="AG52" s="14">
        <v>0</v>
      </c>
      <c r="AH52" s="14">
        <v>0.6</v>
      </c>
      <c r="AI52" s="6">
        <v>45644</v>
      </c>
    </row>
    <row r="53" spans="1:35" ht="15.75" x14ac:dyDescent="0.25">
      <c r="A53">
        <v>1101</v>
      </c>
      <c r="B53">
        <v>0</v>
      </c>
      <c r="C53">
        <v>3</v>
      </c>
      <c r="D53">
        <v>8.42</v>
      </c>
      <c r="F53">
        <v>4</v>
      </c>
      <c r="G53">
        <v>2.4000000000000004</v>
      </c>
      <c r="H53">
        <v>0</v>
      </c>
      <c r="I53">
        <v>22546.414999999997</v>
      </c>
      <c r="J53">
        <v>2077.4999999999995</v>
      </c>
      <c r="K53">
        <v>0</v>
      </c>
      <c r="L53">
        <v>4154.9999999999991</v>
      </c>
      <c r="M53">
        <v>58800</v>
      </c>
      <c r="N53" s="1">
        <f t="shared" si="0"/>
        <v>11025</v>
      </c>
      <c r="P53">
        <v>1680</v>
      </c>
      <c r="Q53">
        <v>4000</v>
      </c>
      <c r="R53">
        <v>3103.0469000000003</v>
      </c>
      <c r="S53">
        <v>924.09999999999991</v>
      </c>
      <c r="T53" s="1"/>
      <c r="U53">
        <v>735000</v>
      </c>
      <c r="V53">
        <v>521180.57999999996</v>
      </c>
      <c r="W53" s="14">
        <v>1.0732506443759384</v>
      </c>
      <c r="X53" s="14">
        <v>0.51174007081717465</v>
      </c>
      <c r="Y53" s="14">
        <v>0.71394599999999997</v>
      </c>
      <c r="Z53" s="6">
        <v>46131</v>
      </c>
      <c r="AB53">
        <v>53770.311200000113</v>
      </c>
      <c r="AC53" s="17">
        <v>1.0789312504784072</v>
      </c>
      <c r="AD53" s="14">
        <v>5.6384981523315059E-2</v>
      </c>
      <c r="AE53" s="14">
        <v>0.4</v>
      </c>
      <c r="AF53" s="14">
        <v>0</v>
      </c>
      <c r="AG53" s="14">
        <v>0</v>
      </c>
      <c r="AH53" s="14">
        <v>0.6</v>
      </c>
      <c r="AI53" s="6">
        <v>45644</v>
      </c>
    </row>
    <row r="54" spans="1:35" ht="15.75" x14ac:dyDescent="0.25">
      <c r="A54">
        <v>1071</v>
      </c>
      <c r="B54">
        <v>0</v>
      </c>
      <c r="C54">
        <v>3</v>
      </c>
      <c r="D54">
        <v>11.479999999999999</v>
      </c>
      <c r="E54">
        <v>3</v>
      </c>
      <c r="F54">
        <v>4</v>
      </c>
      <c r="G54">
        <v>2.4000000000000004</v>
      </c>
      <c r="H54">
        <v>60000</v>
      </c>
      <c r="I54">
        <v>16405.2</v>
      </c>
      <c r="J54">
        <v>2835</v>
      </c>
      <c r="K54">
        <v>0</v>
      </c>
      <c r="L54">
        <v>4082.4</v>
      </c>
      <c r="M54">
        <v>51600</v>
      </c>
      <c r="N54" s="1">
        <f t="shared" si="0"/>
        <v>9675</v>
      </c>
      <c r="P54">
        <v>4200</v>
      </c>
      <c r="Q54">
        <v>4000</v>
      </c>
      <c r="R54">
        <v>2240.5194499999998</v>
      </c>
      <c r="S54">
        <v>1092.4000000000001</v>
      </c>
      <c r="T54" s="1"/>
      <c r="U54">
        <v>645000</v>
      </c>
      <c r="V54">
        <v>421136.86</v>
      </c>
      <c r="W54" s="14">
        <v>1.345038734587424</v>
      </c>
      <c r="X54" s="14">
        <v>0.61150646701152556</v>
      </c>
      <c r="Y54" s="14">
        <v>0.679253</v>
      </c>
      <c r="Z54" s="6">
        <v>46314</v>
      </c>
      <c r="AB54">
        <v>22697.101100000087</v>
      </c>
      <c r="AC54" s="17">
        <v>1.0364727548917418</v>
      </c>
      <c r="AD54" s="14">
        <v>1.9134932810313643E-2</v>
      </c>
      <c r="AE54" s="14">
        <v>0.4</v>
      </c>
      <c r="AF54" s="14">
        <v>0</v>
      </c>
      <c r="AG54" s="14">
        <v>0</v>
      </c>
      <c r="AH54" s="14">
        <v>0.6</v>
      </c>
      <c r="AI54" s="6">
        <v>45644</v>
      </c>
    </row>
    <row r="55" spans="1:35" ht="15.75" x14ac:dyDescent="0.25">
      <c r="A55">
        <v>1098</v>
      </c>
      <c r="B55">
        <v>0</v>
      </c>
      <c r="C55">
        <v>3</v>
      </c>
      <c r="D55">
        <v>11.479999999999999</v>
      </c>
      <c r="F55">
        <v>4</v>
      </c>
      <c r="G55">
        <v>2.4000000000000004</v>
      </c>
      <c r="H55">
        <v>0</v>
      </c>
      <c r="I55">
        <v>11939.199999999999</v>
      </c>
      <c r="J55">
        <v>2460</v>
      </c>
      <c r="K55">
        <v>0</v>
      </c>
      <c r="L55">
        <v>3542.4</v>
      </c>
      <c r="M55">
        <v>64000</v>
      </c>
      <c r="N55" s="1">
        <f t="shared" si="0"/>
        <v>12000</v>
      </c>
      <c r="P55">
        <v>4200</v>
      </c>
      <c r="Q55">
        <v>4000</v>
      </c>
      <c r="R55">
        <v>2572.4675999999999</v>
      </c>
      <c r="S55">
        <v>1092.4000000000001</v>
      </c>
      <c r="T55" s="1"/>
      <c r="U55">
        <v>800000</v>
      </c>
      <c r="V55">
        <v>450189.48</v>
      </c>
      <c r="W55" s="14">
        <v>1.1862902955497105</v>
      </c>
      <c r="X55" s="14">
        <v>0.56989741151154849</v>
      </c>
      <c r="Y55" s="14">
        <v>0.86574899999999999</v>
      </c>
      <c r="Z55" s="6">
        <v>46222</v>
      </c>
      <c r="AB55">
        <v>188551.58480000007</v>
      </c>
      <c r="AC55" s="17">
        <v>1.3083687521511138</v>
      </c>
      <c r="AD55" s="14">
        <v>0.17808582052041899</v>
      </c>
      <c r="AE55" s="14">
        <v>0.4</v>
      </c>
      <c r="AF55" s="14">
        <v>0</v>
      </c>
      <c r="AG55" s="14">
        <v>0</v>
      </c>
      <c r="AH55" s="14">
        <v>0.6</v>
      </c>
      <c r="AI55" s="6">
        <v>45644</v>
      </c>
    </row>
    <row r="56" spans="1:35" ht="15.75" x14ac:dyDescent="0.25">
      <c r="A56">
        <v>1095</v>
      </c>
      <c r="B56">
        <v>0</v>
      </c>
      <c r="C56">
        <v>3</v>
      </c>
      <c r="D56">
        <v>11.479999999999999</v>
      </c>
      <c r="E56">
        <v>3</v>
      </c>
      <c r="F56">
        <v>4</v>
      </c>
      <c r="G56">
        <v>2.4000000000000004</v>
      </c>
      <c r="H56">
        <v>115000</v>
      </c>
      <c r="I56">
        <v>18522</v>
      </c>
      <c r="J56">
        <v>2835</v>
      </c>
      <c r="K56">
        <v>0</v>
      </c>
      <c r="L56">
        <v>4082.4</v>
      </c>
      <c r="M56">
        <v>96000</v>
      </c>
      <c r="N56" s="1">
        <f t="shared" si="0"/>
        <v>18000</v>
      </c>
      <c r="P56">
        <v>4200</v>
      </c>
      <c r="Q56">
        <v>4000</v>
      </c>
      <c r="R56">
        <v>3118.1866</v>
      </c>
      <c r="S56">
        <v>1092.4000000000001</v>
      </c>
      <c r="T56" s="1"/>
      <c r="U56">
        <v>1200000</v>
      </c>
      <c r="V56">
        <v>601269.20000000007</v>
      </c>
      <c r="W56" s="14">
        <v>1.2305020009523628</v>
      </c>
      <c r="X56" s="14">
        <v>0.58705503027999062</v>
      </c>
      <c r="Y56" s="14">
        <v>0.85895600000000005</v>
      </c>
      <c r="Z56" s="6">
        <v>46314</v>
      </c>
      <c r="AB56">
        <v>249847.62679999997</v>
      </c>
      <c r="AC56" s="17">
        <v>1.2629553257426942</v>
      </c>
      <c r="AD56" s="14">
        <v>0.13147363425469583</v>
      </c>
      <c r="AE56" s="14">
        <v>0.4</v>
      </c>
      <c r="AF56" s="14">
        <v>0</v>
      </c>
      <c r="AG56" s="14">
        <v>0</v>
      </c>
      <c r="AH56" s="14">
        <v>0.6</v>
      </c>
      <c r="AI56" s="6">
        <v>45644</v>
      </c>
    </row>
    <row r="57" spans="1:35" ht="15.75" x14ac:dyDescent="0.25">
      <c r="A57">
        <v>1127</v>
      </c>
      <c r="B57">
        <v>0</v>
      </c>
      <c r="C57">
        <v>3</v>
      </c>
      <c r="D57">
        <v>11.479999999999999</v>
      </c>
      <c r="E57">
        <v>3</v>
      </c>
      <c r="F57">
        <v>4</v>
      </c>
      <c r="G57">
        <v>2.4000000000000004</v>
      </c>
      <c r="H57">
        <v>65000</v>
      </c>
      <c r="I57">
        <v>9790.1999999999989</v>
      </c>
      <c r="J57">
        <v>2835</v>
      </c>
      <c r="K57">
        <v>0</v>
      </c>
      <c r="L57">
        <v>4082.4</v>
      </c>
      <c r="M57">
        <v>44800</v>
      </c>
      <c r="N57" s="1">
        <f t="shared" si="0"/>
        <v>8400</v>
      </c>
      <c r="P57">
        <v>4200</v>
      </c>
      <c r="Q57">
        <v>4000</v>
      </c>
      <c r="R57">
        <v>2186.4220000000005</v>
      </c>
      <c r="S57">
        <v>1092.4000000000001</v>
      </c>
      <c r="T57" s="1"/>
      <c r="U57">
        <v>560000</v>
      </c>
      <c r="V57">
        <v>306792.60399999999</v>
      </c>
      <c r="W57" s="14">
        <v>1.0149137831790194</v>
      </c>
      <c r="X57" s="14">
        <v>0.49269453379655231</v>
      </c>
      <c r="Y57" s="14">
        <v>0.82916919999999994</v>
      </c>
      <c r="Z57" s="6">
        <v>46314</v>
      </c>
      <c r="AB57">
        <v>67339.552000000025</v>
      </c>
      <c r="AC57" s="17">
        <v>1.1366855250373176</v>
      </c>
      <c r="AD57" s="14">
        <v>7.0136871273565715E-2</v>
      </c>
      <c r="AE57" s="14">
        <v>0.4</v>
      </c>
      <c r="AF57" s="14">
        <v>0</v>
      </c>
      <c r="AG57" s="14">
        <v>0</v>
      </c>
      <c r="AH57" s="14">
        <v>0.6</v>
      </c>
      <c r="AI57" s="6">
        <v>45644</v>
      </c>
    </row>
    <row r="58" spans="1:35" ht="15.75" x14ac:dyDescent="0.25">
      <c r="A58">
        <v>1100</v>
      </c>
      <c r="B58">
        <v>0</v>
      </c>
      <c r="C58">
        <v>3</v>
      </c>
      <c r="D58">
        <v>7.2399999999999993</v>
      </c>
      <c r="F58">
        <v>4</v>
      </c>
      <c r="G58">
        <v>2.4000000000000004</v>
      </c>
      <c r="H58">
        <v>0</v>
      </c>
      <c r="I58">
        <v>7668.5333333333328</v>
      </c>
      <c r="J58">
        <v>1930</v>
      </c>
      <c r="K58">
        <v>0</v>
      </c>
      <c r="L58">
        <v>3396.7999999999997</v>
      </c>
      <c r="M58">
        <v>30000</v>
      </c>
      <c r="N58" s="1">
        <f t="shared" si="0"/>
        <v>5625</v>
      </c>
      <c r="P58">
        <v>3000</v>
      </c>
      <c r="Q58">
        <v>4000</v>
      </c>
      <c r="R58">
        <v>1626.8396499999999</v>
      </c>
      <c r="S58">
        <v>859.19999999999993</v>
      </c>
      <c r="T58" s="1"/>
      <c r="U58">
        <v>375000</v>
      </c>
      <c r="V58">
        <v>276499.68</v>
      </c>
      <c r="W58" s="14">
        <v>1.4524488447187507</v>
      </c>
      <c r="X58" s="14">
        <v>0.78440711462899115</v>
      </c>
      <c r="Y58" s="14">
        <v>0.69124920000000001</v>
      </c>
      <c r="Z58" s="6">
        <v>46100</v>
      </c>
      <c r="AB58">
        <v>13517.107366666663</v>
      </c>
      <c r="AC58" s="17">
        <v>1.0373934912056202</v>
      </c>
      <c r="AD58" s="14">
        <v>2.8943044793115824E-2</v>
      </c>
      <c r="AE58" s="14">
        <v>0.4</v>
      </c>
      <c r="AF58" s="14">
        <v>0</v>
      </c>
      <c r="AG58" s="14">
        <v>0</v>
      </c>
      <c r="AH58" s="14">
        <v>0.6</v>
      </c>
      <c r="AI58" s="6">
        <v>45644</v>
      </c>
    </row>
    <row r="59" spans="1:35" ht="15.75" x14ac:dyDescent="0.25">
      <c r="A59">
        <v>1069</v>
      </c>
      <c r="B59">
        <v>0</v>
      </c>
      <c r="C59">
        <v>3</v>
      </c>
      <c r="D59">
        <v>7.2399999999999993</v>
      </c>
      <c r="F59">
        <v>4</v>
      </c>
      <c r="G59">
        <v>2.4000000000000004</v>
      </c>
      <c r="H59">
        <v>0</v>
      </c>
      <c r="I59">
        <v>8627.1</v>
      </c>
      <c r="J59">
        <v>1930</v>
      </c>
      <c r="K59">
        <v>0</v>
      </c>
      <c r="L59">
        <v>3396.7999999999997</v>
      </c>
      <c r="M59">
        <v>38000</v>
      </c>
      <c r="N59" s="1">
        <f t="shared" si="0"/>
        <v>7125</v>
      </c>
      <c r="P59">
        <v>3000</v>
      </c>
      <c r="Q59">
        <v>4000</v>
      </c>
      <c r="R59">
        <v>2137.5203000000001</v>
      </c>
      <c r="S59">
        <v>859.19999999999993</v>
      </c>
      <c r="T59" s="1"/>
      <c r="U59">
        <v>475000</v>
      </c>
      <c r="V59">
        <v>336018.15</v>
      </c>
      <c r="W59" s="14">
        <v>1.1487640547621802</v>
      </c>
      <c r="X59" s="14">
        <v>0.62958773224630404</v>
      </c>
      <c r="Y59" s="14">
        <v>0.74670700000000001</v>
      </c>
      <c r="Z59" s="6">
        <v>46100</v>
      </c>
      <c r="AB59">
        <v>36068.709399999992</v>
      </c>
      <c r="AC59" s="17">
        <v>1.082173930572814</v>
      </c>
      <c r="AD59" s="14">
        <v>6.3299848603915798E-2</v>
      </c>
      <c r="AE59" s="14">
        <v>0.4</v>
      </c>
      <c r="AF59" s="14">
        <v>0</v>
      </c>
      <c r="AG59" s="14">
        <v>0</v>
      </c>
      <c r="AH59" s="14">
        <v>0.6</v>
      </c>
      <c r="AI59" s="6">
        <v>45644</v>
      </c>
    </row>
    <row r="60" spans="1:35" ht="15.75" x14ac:dyDescent="0.25">
      <c r="A60">
        <v>1076</v>
      </c>
      <c r="B60">
        <v>0</v>
      </c>
      <c r="C60">
        <v>3</v>
      </c>
      <c r="D60">
        <v>7.2399999999999993</v>
      </c>
      <c r="F60">
        <v>4</v>
      </c>
      <c r="G60">
        <v>2.4000000000000004</v>
      </c>
      <c r="H60">
        <v>0</v>
      </c>
      <c r="I60">
        <v>4505.2633333333333</v>
      </c>
      <c r="J60">
        <v>1930</v>
      </c>
      <c r="K60">
        <v>0</v>
      </c>
      <c r="L60">
        <v>3396.7999999999997</v>
      </c>
      <c r="M60">
        <v>20400</v>
      </c>
      <c r="N60" s="1">
        <f t="shared" si="0"/>
        <v>3825</v>
      </c>
      <c r="P60">
        <v>3000</v>
      </c>
      <c r="Q60">
        <v>4000</v>
      </c>
      <c r="R60">
        <v>1424.796</v>
      </c>
      <c r="S60">
        <v>859.19999999999993</v>
      </c>
      <c r="T60" s="1"/>
      <c r="U60">
        <v>255000</v>
      </c>
      <c r="V60">
        <v>183336.09599999999</v>
      </c>
      <c r="W60" s="14">
        <v>1.222573179904934</v>
      </c>
      <c r="X60" s="14">
        <v>0.50254746884497059</v>
      </c>
      <c r="Y60" s="14">
        <v>0.7801536</v>
      </c>
      <c r="Z60" s="6">
        <v>46100</v>
      </c>
      <c r="AB60">
        <v>9498.0386666666891</v>
      </c>
      <c r="AC60" s="17">
        <v>1.038688239454717</v>
      </c>
      <c r="AD60" s="14">
        <v>2.994099010896889E-2</v>
      </c>
      <c r="AE60" s="14">
        <v>0.4</v>
      </c>
      <c r="AF60" s="14">
        <v>0</v>
      </c>
      <c r="AG60" s="14">
        <v>0</v>
      </c>
      <c r="AH60" s="14">
        <v>0.6</v>
      </c>
      <c r="AI60" s="6">
        <v>45644</v>
      </c>
    </row>
    <row r="61" spans="1:35" ht="15.75" x14ac:dyDescent="0.25">
      <c r="A61">
        <v>1135</v>
      </c>
      <c r="B61">
        <v>0</v>
      </c>
      <c r="C61">
        <v>3</v>
      </c>
      <c r="D61">
        <v>3.1999999999999997</v>
      </c>
      <c r="E61">
        <v>3</v>
      </c>
      <c r="F61">
        <v>4</v>
      </c>
      <c r="G61">
        <v>2.4000000000000004</v>
      </c>
      <c r="H61" t="s">
        <v>35</v>
      </c>
      <c r="I61">
        <v>2428.7999999999997</v>
      </c>
      <c r="J61">
        <v>1799.9999999999998</v>
      </c>
      <c r="K61">
        <v>0</v>
      </c>
      <c r="L61">
        <v>2879.9999999999995</v>
      </c>
      <c r="M61">
        <v>24800</v>
      </c>
      <c r="N61" s="1">
        <f t="shared" si="0"/>
        <v>4650</v>
      </c>
      <c r="P61">
        <v>1260</v>
      </c>
      <c r="Q61">
        <v>4000</v>
      </c>
      <c r="R61">
        <v>1469.9546</v>
      </c>
      <c r="S61">
        <v>637</v>
      </c>
      <c r="T61" s="1"/>
      <c r="U61">
        <v>310000</v>
      </c>
      <c r="V61">
        <v>185069.06</v>
      </c>
      <c r="W61" s="14">
        <v>1.164022825957608</v>
      </c>
      <c r="X61" s="14">
        <v>0.5507023193799846</v>
      </c>
      <c r="Y61" s="14">
        <v>0.84122299999999994</v>
      </c>
      <c r="Z61" s="6">
        <v>46072</v>
      </c>
      <c r="AB61">
        <v>58560.230800000019</v>
      </c>
      <c r="AC61" s="17">
        <v>1.2328996363078113</v>
      </c>
      <c r="AD61" s="14">
        <v>0.19061980859224215</v>
      </c>
      <c r="AE61" s="14">
        <v>0.4</v>
      </c>
      <c r="AF61" s="14">
        <v>0</v>
      </c>
      <c r="AG61" s="14">
        <v>0</v>
      </c>
      <c r="AH61" s="14">
        <v>0.6</v>
      </c>
      <c r="AI61" s="6">
        <v>45644</v>
      </c>
    </row>
    <row r="62" spans="1:35" ht="15.75" x14ac:dyDescent="0.25">
      <c r="A62">
        <v>1119</v>
      </c>
      <c r="B62">
        <v>0</v>
      </c>
      <c r="C62">
        <v>3</v>
      </c>
      <c r="D62">
        <v>3.32</v>
      </c>
      <c r="F62">
        <v>4</v>
      </c>
      <c r="G62">
        <v>2.4000000000000004</v>
      </c>
      <c r="H62">
        <v>0</v>
      </c>
      <c r="I62">
        <v>6564.4346879999994</v>
      </c>
      <c r="J62">
        <v>1440</v>
      </c>
      <c r="K62">
        <v>0</v>
      </c>
      <c r="L62">
        <v>2534.4</v>
      </c>
      <c r="M62">
        <v>26000</v>
      </c>
      <c r="N62" s="1">
        <f t="shared" si="0"/>
        <v>4875</v>
      </c>
      <c r="P62">
        <v>1230</v>
      </c>
      <c r="Q62">
        <v>4000</v>
      </c>
      <c r="R62">
        <v>1681.6842999999999</v>
      </c>
      <c r="S62">
        <v>643.6</v>
      </c>
      <c r="T62" s="1"/>
      <c r="U62">
        <v>325000</v>
      </c>
      <c r="V62">
        <v>244970.83799999999</v>
      </c>
      <c r="W62" s="14">
        <v>1.2167212600812389</v>
      </c>
      <c r="X62" s="14">
        <v>0.57000795779298297</v>
      </c>
      <c r="Y62" s="14">
        <v>0.60186289650902536</v>
      </c>
      <c r="Z62" s="6">
        <v>45980</v>
      </c>
      <c r="AB62">
        <v>7428.3587120000157</v>
      </c>
      <c r="AC62" s="17">
        <v>1.0233911273748255</v>
      </c>
      <c r="AD62" s="14">
        <v>2.4377543764234844E-2</v>
      </c>
      <c r="AE62" s="14">
        <v>0.4</v>
      </c>
      <c r="AF62" s="14">
        <v>0</v>
      </c>
      <c r="AG62" s="14">
        <v>0</v>
      </c>
      <c r="AH62" s="14">
        <v>0.6</v>
      </c>
      <c r="AI62" s="6">
        <v>45644</v>
      </c>
    </row>
    <row r="63" spans="1:35" ht="15.75" x14ac:dyDescent="0.25">
      <c r="A63">
        <v>1102</v>
      </c>
      <c r="B63">
        <v>0</v>
      </c>
      <c r="C63">
        <v>3</v>
      </c>
      <c r="D63">
        <v>3.32</v>
      </c>
      <c r="F63">
        <v>4</v>
      </c>
      <c r="G63">
        <v>2.4000000000000004</v>
      </c>
      <c r="H63">
        <v>0</v>
      </c>
      <c r="I63">
        <v>4032</v>
      </c>
      <c r="J63">
        <v>1440</v>
      </c>
      <c r="K63">
        <v>0</v>
      </c>
      <c r="L63">
        <v>2534.4</v>
      </c>
      <c r="M63">
        <v>20400</v>
      </c>
      <c r="N63" s="1">
        <f t="shared" si="0"/>
        <v>3825</v>
      </c>
      <c r="P63">
        <v>1230</v>
      </c>
      <c r="Q63">
        <v>4000</v>
      </c>
      <c r="R63">
        <v>1108.0160500000002</v>
      </c>
      <c r="S63">
        <v>643.6</v>
      </c>
      <c r="T63" s="1"/>
      <c r="U63">
        <v>255000</v>
      </c>
      <c r="V63">
        <v>185001.72500000001</v>
      </c>
      <c r="W63" s="14">
        <v>2.1361993972278857</v>
      </c>
      <c r="X63" s="14">
        <v>0.84427599900878358</v>
      </c>
      <c r="Y63" s="14">
        <v>0.74000690000000002</v>
      </c>
      <c r="Z63" s="6">
        <v>45980</v>
      </c>
      <c r="AB63">
        <v>12277.242900000012</v>
      </c>
      <c r="AC63" s="17">
        <v>1.0505813424611927</v>
      </c>
      <c r="AD63" s="14">
        <v>5.274354524317415E-2</v>
      </c>
      <c r="AE63" s="14">
        <v>0.4</v>
      </c>
      <c r="AF63" s="14">
        <v>0</v>
      </c>
      <c r="AG63" s="14">
        <v>0</v>
      </c>
      <c r="AH63" s="14">
        <v>0.6</v>
      </c>
      <c r="AI63" s="6">
        <v>45644</v>
      </c>
    </row>
    <row r="64" spans="1:35" ht="15.75" x14ac:dyDescent="0.25">
      <c r="A64">
        <v>1108</v>
      </c>
      <c r="B64">
        <v>0</v>
      </c>
      <c r="C64">
        <v>3</v>
      </c>
      <c r="D64">
        <v>2.8000000000000003</v>
      </c>
      <c r="F64">
        <v>4</v>
      </c>
      <c r="G64">
        <v>2.4000000000000004</v>
      </c>
      <c r="H64">
        <v>0</v>
      </c>
      <c r="I64">
        <v>1642.8499999999997</v>
      </c>
      <c r="J64">
        <v>1375</v>
      </c>
      <c r="K64">
        <v>0</v>
      </c>
      <c r="L64">
        <v>2420</v>
      </c>
      <c r="M64">
        <v>19600</v>
      </c>
      <c r="N64" s="1">
        <f t="shared" si="0"/>
        <v>3675</v>
      </c>
      <c r="P64">
        <v>1260</v>
      </c>
      <c r="Q64">
        <v>4000</v>
      </c>
      <c r="R64">
        <v>1584.723</v>
      </c>
      <c r="S64">
        <v>615</v>
      </c>
      <c r="T64" s="1"/>
      <c r="U64">
        <v>245000</v>
      </c>
      <c r="V64">
        <v>170443.98799999998</v>
      </c>
      <c r="W64" s="14">
        <v>0.93679058350728728</v>
      </c>
      <c r="X64" s="14">
        <v>0.35863373255546727</v>
      </c>
      <c r="Y64" s="14">
        <v>0.82739799999999997</v>
      </c>
      <c r="Z64" s="6">
        <v>45980</v>
      </c>
      <c r="AB64">
        <v>20048.716000000015</v>
      </c>
      <c r="AC64" s="17">
        <v>1.0891247013286665</v>
      </c>
      <c r="AD64" s="14">
        <v>9.7610617852645021E-2</v>
      </c>
      <c r="AE64" s="14">
        <v>0.4</v>
      </c>
      <c r="AF64" s="14">
        <v>0</v>
      </c>
      <c r="AG64" s="14">
        <v>0</v>
      </c>
      <c r="AH64" s="14">
        <v>0.6</v>
      </c>
      <c r="AI64" s="6">
        <v>45644</v>
      </c>
    </row>
    <row r="65" spans="1:36" ht="15.75" x14ac:dyDescent="0.25">
      <c r="A65">
        <v>1103</v>
      </c>
      <c r="B65">
        <v>0</v>
      </c>
      <c r="C65">
        <v>3</v>
      </c>
      <c r="D65">
        <v>4.5999999999999996</v>
      </c>
      <c r="E65">
        <v>3</v>
      </c>
      <c r="F65">
        <v>4</v>
      </c>
      <c r="G65">
        <v>2.4000000000000004</v>
      </c>
      <c r="H65">
        <v>45000</v>
      </c>
      <c r="I65">
        <v>3703.125</v>
      </c>
      <c r="J65">
        <v>1975</v>
      </c>
      <c r="K65">
        <v>0</v>
      </c>
      <c r="L65">
        <v>3160</v>
      </c>
      <c r="M65">
        <v>46000</v>
      </c>
      <c r="N65" s="1">
        <f t="shared" si="0"/>
        <v>8625</v>
      </c>
      <c r="P65">
        <v>1500</v>
      </c>
      <c r="Q65">
        <v>4000</v>
      </c>
      <c r="R65">
        <v>1942.47235</v>
      </c>
      <c r="S65">
        <v>714</v>
      </c>
      <c r="T65" s="1"/>
      <c r="U65">
        <v>575000</v>
      </c>
      <c r="V65">
        <v>301269</v>
      </c>
      <c r="W65" s="14">
        <v>1.1884637956796453</v>
      </c>
      <c r="X65" s="14">
        <v>0.58594855421912173</v>
      </c>
      <c r="Y65" s="14">
        <v>0.80338399999999999</v>
      </c>
      <c r="Z65" s="6">
        <v>46100</v>
      </c>
      <c r="AB65">
        <v>116968.93030000001</v>
      </c>
      <c r="AC65" s="17">
        <v>1.2553733535513476</v>
      </c>
      <c r="AD65" s="14">
        <v>0.18854983763363831</v>
      </c>
      <c r="AE65" s="14">
        <v>0.4</v>
      </c>
      <c r="AF65" s="14">
        <v>0</v>
      </c>
      <c r="AG65" s="14">
        <v>0</v>
      </c>
      <c r="AH65" s="14">
        <v>0.6</v>
      </c>
      <c r="AI65" s="6">
        <v>45644</v>
      </c>
    </row>
    <row r="66" spans="1:36" ht="15.75" x14ac:dyDescent="0.25">
      <c r="A66">
        <v>1106</v>
      </c>
      <c r="B66">
        <v>0</v>
      </c>
      <c r="C66">
        <v>3</v>
      </c>
      <c r="D66">
        <v>4.5999999999999996</v>
      </c>
      <c r="F66">
        <v>4</v>
      </c>
      <c r="G66">
        <v>2.4000000000000004</v>
      </c>
      <c r="H66">
        <v>0</v>
      </c>
      <c r="I66">
        <v>4320</v>
      </c>
      <c r="J66">
        <v>1600</v>
      </c>
      <c r="K66">
        <v>0</v>
      </c>
      <c r="L66">
        <v>2560</v>
      </c>
      <c r="M66">
        <v>42800</v>
      </c>
      <c r="N66" s="1">
        <f t="shared" si="0"/>
        <v>8025</v>
      </c>
      <c r="P66">
        <v>1500</v>
      </c>
      <c r="Q66">
        <v>4000</v>
      </c>
      <c r="R66">
        <v>1798.05195</v>
      </c>
      <c r="S66">
        <v>714</v>
      </c>
      <c r="T66" s="1"/>
      <c r="U66">
        <v>535000</v>
      </c>
      <c r="V66">
        <v>390002.04000000004</v>
      </c>
      <c r="W66" s="14">
        <v>1.7363490620358213</v>
      </c>
      <c r="X66" s="14">
        <v>0.85475657712020603</v>
      </c>
      <c r="Y66" s="14">
        <v>0.72222600000000003</v>
      </c>
      <c r="Z66" s="6">
        <v>46010</v>
      </c>
      <c r="AB66">
        <v>40282.856099999975</v>
      </c>
      <c r="AC66" s="17">
        <v>1.0814260362647601</v>
      </c>
      <c r="AD66" s="14">
        <v>7.6148042493370705E-2</v>
      </c>
      <c r="AE66" s="14">
        <v>0.4</v>
      </c>
      <c r="AF66" s="14">
        <v>0</v>
      </c>
      <c r="AG66" s="14">
        <v>0</v>
      </c>
      <c r="AH66" s="14">
        <v>0.6</v>
      </c>
      <c r="AI66" s="6">
        <v>45644</v>
      </c>
    </row>
    <row r="67" spans="1:36" ht="15.75" x14ac:dyDescent="0.25">
      <c r="A67">
        <v>1112</v>
      </c>
      <c r="B67">
        <v>0</v>
      </c>
      <c r="C67">
        <v>3</v>
      </c>
      <c r="D67">
        <v>4.5999999999999996</v>
      </c>
      <c r="F67">
        <v>4</v>
      </c>
      <c r="G67">
        <v>2.4000000000000004</v>
      </c>
      <c r="H67">
        <v>0</v>
      </c>
      <c r="I67">
        <v>3120</v>
      </c>
      <c r="J67">
        <v>1600</v>
      </c>
      <c r="K67">
        <v>0</v>
      </c>
      <c r="L67">
        <v>2560</v>
      </c>
      <c r="M67">
        <v>33600</v>
      </c>
      <c r="N67" s="1">
        <f t="shared" ref="N67:N129" si="1">0.015*U67</f>
        <v>6300</v>
      </c>
      <c r="P67">
        <v>1500</v>
      </c>
      <c r="Q67">
        <v>4000</v>
      </c>
      <c r="R67">
        <v>2132.2802499999998</v>
      </c>
      <c r="S67">
        <v>714</v>
      </c>
      <c r="T67" s="1"/>
      <c r="U67">
        <v>420000</v>
      </c>
      <c r="V67">
        <v>301845.10200000001</v>
      </c>
      <c r="W67" s="14">
        <v>1.035645346871338</v>
      </c>
      <c r="X67" s="14">
        <v>0.63954099174681056</v>
      </c>
      <c r="Y67" s="14">
        <v>0.77396180000000003</v>
      </c>
      <c r="Z67" s="6">
        <v>46010</v>
      </c>
      <c r="AB67">
        <v>32371.337499999965</v>
      </c>
      <c r="AC67" s="17">
        <v>1.0835112070692139</v>
      </c>
      <c r="AD67" s="14">
        <v>7.8093232183801709E-2</v>
      </c>
      <c r="AE67" s="14">
        <v>0.4</v>
      </c>
      <c r="AF67" s="14">
        <v>0</v>
      </c>
      <c r="AG67" s="14">
        <v>0</v>
      </c>
      <c r="AH67" s="14">
        <v>0.6</v>
      </c>
      <c r="AI67" s="6">
        <v>45644</v>
      </c>
    </row>
    <row r="68" spans="1:36" ht="15.75" x14ac:dyDescent="0.25">
      <c r="A68">
        <v>1130</v>
      </c>
      <c r="B68">
        <v>0</v>
      </c>
      <c r="C68">
        <v>3</v>
      </c>
      <c r="D68">
        <v>4.5999999999999996</v>
      </c>
      <c r="F68">
        <v>4</v>
      </c>
      <c r="G68">
        <v>2.4000000000000004</v>
      </c>
      <c r="H68">
        <v>0</v>
      </c>
      <c r="I68">
        <v>1722.8719999999998</v>
      </c>
      <c r="J68">
        <v>1600</v>
      </c>
      <c r="K68">
        <v>0</v>
      </c>
      <c r="L68">
        <v>2560</v>
      </c>
      <c r="M68">
        <v>20000</v>
      </c>
      <c r="N68" s="1">
        <f t="shared" si="1"/>
        <v>3750</v>
      </c>
      <c r="P68">
        <v>1500</v>
      </c>
      <c r="Q68">
        <v>4000</v>
      </c>
      <c r="R68">
        <v>1562.8125500000001</v>
      </c>
      <c r="S68">
        <v>714</v>
      </c>
      <c r="T68" s="1"/>
      <c r="U68">
        <v>250000</v>
      </c>
      <c r="V68">
        <v>187201.56</v>
      </c>
      <c r="W68" s="14">
        <v>1.0542853894101856</v>
      </c>
      <c r="X68" s="14">
        <v>0.5069156583858857</v>
      </c>
      <c r="Y68" s="14">
        <v>0.86925347907447559</v>
      </c>
      <c r="Z68" s="6">
        <v>46010</v>
      </c>
      <c r="AB68">
        <v>6750.9428999999946</v>
      </c>
      <c r="AC68" s="17">
        <v>1.0277532130257125</v>
      </c>
      <c r="AD68" s="14">
        <v>2.5996290244790554E-2</v>
      </c>
      <c r="AE68" s="14">
        <v>0.4</v>
      </c>
      <c r="AF68" s="14">
        <v>0</v>
      </c>
      <c r="AG68" s="14">
        <v>0</v>
      </c>
      <c r="AH68" s="14">
        <v>0.6</v>
      </c>
      <c r="AI68" s="6">
        <v>45644</v>
      </c>
    </row>
    <row r="69" spans="1:36" ht="15.75" x14ac:dyDescent="0.25">
      <c r="A69">
        <v>1129</v>
      </c>
      <c r="B69">
        <v>0</v>
      </c>
      <c r="C69">
        <v>3</v>
      </c>
      <c r="D69">
        <v>4.5999999999999996</v>
      </c>
      <c r="F69">
        <v>4</v>
      </c>
      <c r="G69">
        <v>2.4000000000000004</v>
      </c>
      <c r="H69">
        <v>0</v>
      </c>
      <c r="I69">
        <v>3840</v>
      </c>
      <c r="J69">
        <v>1600</v>
      </c>
      <c r="K69">
        <v>0</v>
      </c>
      <c r="L69">
        <v>2560</v>
      </c>
      <c r="M69">
        <v>34000</v>
      </c>
      <c r="N69" s="1">
        <f t="shared" si="1"/>
        <v>6375</v>
      </c>
      <c r="P69">
        <v>1500</v>
      </c>
      <c r="Q69">
        <v>4000</v>
      </c>
      <c r="R69">
        <v>1845.4208500000002</v>
      </c>
      <c r="S69">
        <v>714</v>
      </c>
      <c r="T69" s="1"/>
      <c r="U69">
        <v>425000</v>
      </c>
      <c r="V69">
        <v>325342.07999999996</v>
      </c>
      <c r="W69" s="14">
        <v>1.3898508386961832</v>
      </c>
      <c r="X69" s="14">
        <v>0.68779541331295235</v>
      </c>
      <c r="Y69" s="14">
        <v>0.67779599999999995</v>
      </c>
      <c r="Z69" s="6">
        <v>46010</v>
      </c>
      <c r="AB69">
        <v>12928.078300000052</v>
      </c>
      <c r="AC69" s="17">
        <v>1.0313733540656334</v>
      </c>
      <c r="AD69" s="14">
        <v>2.9383998221699459E-2</v>
      </c>
      <c r="AE69" s="14">
        <v>0.4</v>
      </c>
      <c r="AF69" s="14">
        <v>0</v>
      </c>
      <c r="AG69" s="14">
        <v>0</v>
      </c>
      <c r="AH69" s="14">
        <v>0.6</v>
      </c>
      <c r="AI69" s="6">
        <v>45644</v>
      </c>
    </row>
    <row r="70" spans="1:36" ht="15.75" x14ac:dyDescent="0.25">
      <c r="A70">
        <v>1107</v>
      </c>
      <c r="B70">
        <v>0</v>
      </c>
      <c r="C70">
        <v>3</v>
      </c>
      <c r="D70">
        <v>7.2399999999999993</v>
      </c>
      <c r="F70">
        <v>4</v>
      </c>
      <c r="G70">
        <v>2.4000000000000004</v>
      </c>
      <c r="H70">
        <v>0</v>
      </c>
      <c r="I70">
        <v>9677.6890666666677</v>
      </c>
      <c r="J70">
        <v>1930</v>
      </c>
      <c r="K70">
        <v>0</v>
      </c>
      <c r="L70">
        <v>3396.7999999999997</v>
      </c>
      <c r="M70">
        <v>38000</v>
      </c>
      <c r="N70" s="1">
        <f t="shared" si="1"/>
        <v>7125</v>
      </c>
      <c r="P70">
        <v>3000</v>
      </c>
      <c r="Q70">
        <v>4000</v>
      </c>
      <c r="R70">
        <v>2476.4629500000001</v>
      </c>
      <c r="S70">
        <v>859.19999999999993</v>
      </c>
      <c r="T70" s="1"/>
      <c r="U70">
        <v>475000</v>
      </c>
      <c r="V70">
        <v>331644.74599999998</v>
      </c>
      <c r="W70" s="14">
        <v>0.92048727951912623</v>
      </c>
      <c r="X70" s="14">
        <v>0.46308214232718958</v>
      </c>
      <c r="Y70" s="14">
        <v>0.65698246038034858</v>
      </c>
      <c r="Z70" s="6">
        <v>46100</v>
      </c>
      <c r="AB70">
        <v>38713.63903333334</v>
      </c>
      <c r="AC70" s="17">
        <v>1.0887344700566772</v>
      </c>
      <c r="AD70" s="14">
        <v>6.8306409633454912E-2</v>
      </c>
      <c r="AE70" s="14">
        <v>0.4</v>
      </c>
      <c r="AF70" s="14">
        <v>0</v>
      </c>
      <c r="AG70" s="14">
        <v>0</v>
      </c>
      <c r="AH70" s="14">
        <v>0.6</v>
      </c>
      <c r="AI70" s="6">
        <v>45644</v>
      </c>
    </row>
    <row r="71" spans="1:36" ht="15.75" x14ac:dyDescent="0.25">
      <c r="A71">
        <v>6193</v>
      </c>
      <c r="B71">
        <v>1</v>
      </c>
      <c r="C71">
        <v>2</v>
      </c>
      <c r="D71">
        <v>4</v>
      </c>
      <c r="E71" t="s">
        <v>35</v>
      </c>
      <c r="F71">
        <v>4</v>
      </c>
      <c r="G71">
        <v>3</v>
      </c>
      <c r="I71">
        <v>330.75</v>
      </c>
      <c r="J71">
        <v>2100</v>
      </c>
      <c r="K71">
        <v>1344</v>
      </c>
      <c r="L71">
        <v>800</v>
      </c>
      <c r="M71">
        <v>35048</v>
      </c>
      <c r="N71" s="1">
        <f t="shared" si="1"/>
        <v>6571.5</v>
      </c>
      <c r="O71">
        <v>3330</v>
      </c>
      <c r="P71">
        <v>1827.5</v>
      </c>
      <c r="Q71">
        <v>3750</v>
      </c>
      <c r="R71">
        <v>400</v>
      </c>
      <c r="S71">
        <v>865.97500000000002</v>
      </c>
      <c r="T71" s="8"/>
      <c r="U71" s="7">
        <v>438100</v>
      </c>
      <c r="V71" s="9">
        <v>297579.09052605537</v>
      </c>
      <c r="W71" s="14">
        <v>1.7476788215192398</v>
      </c>
      <c r="X71" s="14">
        <v>0.84187274319901739</v>
      </c>
      <c r="Y71" s="14">
        <v>0.66871705736192222</v>
      </c>
      <c r="Z71" s="15">
        <v>46326</v>
      </c>
      <c r="AA71" s="10">
        <v>383391.28750000003</v>
      </c>
      <c r="AB71">
        <v>85812.196973944898</v>
      </c>
      <c r="AC71" s="10">
        <v>1.3189849002013467</v>
      </c>
      <c r="AD71" s="14">
        <v>0.23692638278007502</v>
      </c>
      <c r="AE71" s="14">
        <f>IF(AF71=0,0.5,0)</f>
        <v>0.5</v>
      </c>
      <c r="AF71" s="14">
        <f t="shared" ref="AF71:AF102" si="2">IF(E71&lt;&gt;"",0.5,0)</f>
        <v>0</v>
      </c>
      <c r="AG71" s="14">
        <f>IF(AF71=0,0,0.5)</f>
        <v>0</v>
      </c>
      <c r="AH71" s="14">
        <f>IF(AF71=0,0.5,0)</f>
        <v>0.5</v>
      </c>
      <c r="AI71" s="6">
        <v>45939</v>
      </c>
      <c r="AJ71">
        <v>325216.41682319203</v>
      </c>
    </row>
    <row r="72" spans="1:36" ht="15.75" x14ac:dyDescent="0.25">
      <c r="A72">
        <v>6194</v>
      </c>
      <c r="B72">
        <v>1</v>
      </c>
      <c r="C72">
        <v>2</v>
      </c>
      <c r="D72">
        <v>4</v>
      </c>
      <c r="E72" t="s">
        <v>35</v>
      </c>
      <c r="F72">
        <v>4</v>
      </c>
      <c r="G72">
        <v>3</v>
      </c>
      <c r="I72">
        <v>213.15</v>
      </c>
      <c r="J72">
        <v>1353.3333333333335</v>
      </c>
      <c r="K72">
        <v>0</v>
      </c>
      <c r="L72">
        <v>800</v>
      </c>
      <c r="M72">
        <v>22902</v>
      </c>
      <c r="N72" s="1">
        <f t="shared" si="1"/>
        <v>4294.125</v>
      </c>
      <c r="O72">
        <v>2145</v>
      </c>
      <c r="P72">
        <v>1827.5</v>
      </c>
      <c r="Q72">
        <v>3750</v>
      </c>
      <c r="R72">
        <v>400</v>
      </c>
      <c r="S72">
        <v>865.97500000000002</v>
      </c>
      <c r="T72" s="8"/>
      <c r="U72" s="7">
        <v>286275</v>
      </c>
      <c r="V72" s="9">
        <v>193065.58494673806</v>
      </c>
      <c r="W72" s="14">
        <v>1.3709021195733333</v>
      </c>
      <c r="X72" s="14">
        <v>0.73240570045503006</v>
      </c>
      <c r="Y72" s="14">
        <v>0.82155568062441731</v>
      </c>
      <c r="Z72" s="15">
        <v>46326</v>
      </c>
      <c r="AA72" s="10">
        <v>249153.56333333332</v>
      </c>
      <c r="AB72">
        <v>56087.978386595263</v>
      </c>
      <c r="AC72" s="10">
        <v>1.3110654905131416</v>
      </c>
      <c r="AD72" s="14">
        <v>0.23689689040184017</v>
      </c>
      <c r="AE72" s="14">
        <f t="shared" ref="AE72:AE135" si="3">IF(AF72=0,0.5,0)</f>
        <v>0.5</v>
      </c>
      <c r="AF72" s="14">
        <f t="shared" si="2"/>
        <v>0</v>
      </c>
      <c r="AG72" s="14">
        <f t="shared" ref="AG72:AG135" si="4">IF(AF72=0,0,0.5)</f>
        <v>0</v>
      </c>
      <c r="AH72" s="14">
        <f t="shared" ref="AH72:AH135" si="5">IF(AF72=0,0.5,0)</f>
        <v>0.5</v>
      </c>
      <c r="AI72" s="6">
        <v>45939</v>
      </c>
      <c r="AJ72">
        <v>211124.94592925819</v>
      </c>
    </row>
    <row r="73" spans="1:36" ht="15.75" x14ac:dyDescent="0.25">
      <c r="A73">
        <v>6195</v>
      </c>
      <c r="B73">
        <v>1</v>
      </c>
      <c r="C73">
        <v>2</v>
      </c>
      <c r="D73">
        <v>4</v>
      </c>
      <c r="E73">
        <v>4</v>
      </c>
      <c r="F73">
        <v>4</v>
      </c>
      <c r="G73">
        <v>3</v>
      </c>
      <c r="H73">
        <v>60000</v>
      </c>
      <c r="I73">
        <v>3262.5</v>
      </c>
      <c r="J73">
        <v>1305</v>
      </c>
      <c r="K73">
        <v>0</v>
      </c>
      <c r="L73">
        <v>1600</v>
      </c>
      <c r="M73">
        <v>33760</v>
      </c>
      <c r="N73" s="1">
        <f t="shared" si="1"/>
        <v>6330</v>
      </c>
      <c r="O73" t="s">
        <v>35</v>
      </c>
      <c r="P73">
        <v>1250</v>
      </c>
      <c r="Q73">
        <v>3750</v>
      </c>
      <c r="R73">
        <v>400</v>
      </c>
      <c r="S73">
        <v>1124.5</v>
      </c>
      <c r="T73" s="8"/>
      <c r="U73" s="7">
        <v>422000</v>
      </c>
      <c r="V73" s="9">
        <v>217052.78345384187</v>
      </c>
      <c r="W73" s="14">
        <v>1.0569245465561714</v>
      </c>
      <c r="X73" s="14">
        <v>0.61331043591428047</v>
      </c>
      <c r="Y73" s="14">
        <v>0.72350927817947286</v>
      </c>
      <c r="Z73" s="15">
        <v>46446</v>
      </c>
      <c r="AA73" s="10">
        <v>305124.875</v>
      </c>
      <c r="AB73">
        <v>88072.091546157957</v>
      </c>
      <c r="AC73" s="10">
        <v>1.2746046427469466</v>
      </c>
      <c r="AD73" s="14">
        <v>0.23730003237724304</v>
      </c>
      <c r="AE73" s="14">
        <f t="shared" si="3"/>
        <v>0</v>
      </c>
      <c r="AF73" s="14">
        <f t="shared" si="2"/>
        <v>0.5</v>
      </c>
      <c r="AG73" s="14">
        <f t="shared" si="4"/>
        <v>0.5</v>
      </c>
      <c r="AH73" s="14">
        <f t="shared" si="5"/>
        <v>0</v>
      </c>
      <c r="AI73" s="6">
        <v>45939</v>
      </c>
      <c r="AJ73">
        <v>244530.85397004479</v>
      </c>
    </row>
    <row r="74" spans="1:36" ht="15.75" x14ac:dyDescent="0.25">
      <c r="A74">
        <v>6196</v>
      </c>
      <c r="B74">
        <v>1</v>
      </c>
      <c r="C74">
        <v>2</v>
      </c>
      <c r="D74">
        <v>4</v>
      </c>
      <c r="E74" t="s">
        <v>35</v>
      </c>
      <c r="F74">
        <v>4</v>
      </c>
      <c r="G74">
        <v>3</v>
      </c>
      <c r="H74" t="s">
        <v>35</v>
      </c>
      <c r="I74">
        <v>4331.25</v>
      </c>
      <c r="J74">
        <v>1732.5</v>
      </c>
      <c r="K74">
        <v>0</v>
      </c>
      <c r="L74">
        <v>800</v>
      </c>
      <c r="M74">
        <v>38640</v>
      </c>
      <c r="N74" s="1">
        <f t="shared" si="1"/>
        <v>7245</v>
      </c>
      <c r="O74">
        <v>3607.5</v>
      </c>
      <c r="P74">
        <v>1250</v>
      </c>
      <c r="Q74">
        <v>3750</v>
      </c>
      <c r="R74">
        <v>400</v>
      </c>
      <c r="S74">
        <v>908.5</v>
      </c>
      <c r="T74" s="8"/>
      <c r="U74" s="7">
        <v>483000</v>
      </c>
      <c r="V74" s="9">
        <v>322675.05607053183</v>
      </c>
      <c r="W74" s="14">
        <v>1.5082321207533957</v>
      </c>
      <c r="X74" s="14">
        <v>0.51950378107164064</v>
      </c>
      <c r="Y74" s="14">
        <v>0.67223970014694134</v>
      </c>
      <c r="Z74" s="15">
        <v>46326</v>
      </c>
      <c r="AA74" s="10">
        <v>415706.8125</v>
      </c>
      <c r="AB74">
        <v>93031.75642946834</v>
      </c>
      <c r="AC74" s="10">
        <v>1.2818669573691295</v>
      </c>
      <c r="AD74" s="14">
        <v>0.23664019703865052</v>
      </c>
      <c r="AE74" s="14">
        <f t="shared" si="3"/>
        <v>0.5</v>
      </c>
      <c r="AF74" s="14">
        <f t="shared" si="2"/>
        <v>0</v>
      </c>
      <c r="AG74" s="14">
        <f t="shared" si="4"/>
        <v>0</v>
      </c>
      <c r="AH74" s="14">
        <f t="shared" si="5"/>
        <v>0.5</v>
      </c>
      <c r="AI74" s="6">
        <v>45939</v>
      </c>
      <c r="AJ74">
        <v>352575.46850702382</v>
      </c>
    </row>
    <row r="75" spans="1:36" ht="15.75" x14ac:dyDescent="0.25">
      <c r="A75">
        <v>6197</v>
      </c>
      <c r="B75">
        <v>1</v>
      </c>
      <c r="C75">
        <v>2</v>
      </c>
      <c r="D75">
        <v>4</v>
      </c>
      <c r="E75" t="s">
        <v>35</v>
      </c>
      <c r="F75">
        <v>4</v>
      </c>
      <c r="G75">
        <v>3</v>
      </c>
      <c r="H75" t="s">
        <v>35</v>
      </c>
      <c r="I75">
        <v>2625</v>
      </c>
      <c r="J75">
        <v>1050</v>
      </c>
      <c r="K75">
        <v>0</v>
      </c>
      <c r="L75">
        <v>800</v>
      </c>
      <c r="M75">
        <v>23440</v>
      </c>
      <c r="N75" s="1">
        <f t="shared" si="1"/>
        <v>4395</v>
      </c>
      <c r="O75">
        <v>2190</v>
      </c>
      <c r="P75">
        <v>1250</v>
      </c>
      <c r="Q75">
        <v>3750</v>
      </c>
      <c r="R75">
        <v>400</v>
      </c>
      <c r="S75">
        <v>908.5</v>
      </c>
      <c r="T75" s="8"/>
      <c r="U75" s="7">
        <v>293000</v>
      </c>
      <c r="V75" s="9">
        <v>193146.02479321472</v>
      </c>
      <c r="W75" s="14">
        <v>1.665037584100264</v>
      </c>
      <c r="X75" s="14">
        <v>0.71732640870343267</v>
      </c>
      <c r="Y75" s="14">
        <v>0.96573012396607361</v>
      </c>
      <c r="Z75" s="15">
        <v>46326</v>
      </c>
      <c r="AA75" s="10">
        <v>249385.25000000003</v>
      </c>
      <c r="AB75">
        <v>56239.225206785166</v>
      </c>
      <c r="AC75" s="10">
        <v>1.2881580739213119</v>
      </c>
      <c r="AD75" s="14">
        <v>0.23653464913368225</v>
      </c>
      <c r="AE75" s="14">
        <f t="shared" si="3"/>
        <v>0.5</v>
      </c>
      <c r="AF75" s="14">
        <f t="shared" si="2"/>
        <v>0</v>
      </c>
      <c r="AG75" s="14">
        <f t="shared" si="4"/>
        <v>0</v>
      </c>
      <c r="AH75" s="14">
        <f t="shared" si="5"/>
        <v>0.5</v>
      </c>
      <c r="AI75" s="6">
        <v>45939</v>
      </c>
      <c r="AJ75">
        <v>211205.85317972209</v>
      </c>
    </row>
    <row r="76" spans="1:36" ht="15.75" x14ac:dyDescent="0.25">
      <c r="A76">
        <v>6198</v>
      </c>
      <c r="B76">
        <v>1</v>
      </c>
      <c r="C76">
        <v>2</v>
      </c>
      <c r="D76">
        <v>4</v>
      </c>
      <c r="E76" t="s">
        <v>35</v>
      </c>
      <c r="F76">
        <v>4</v>
      </c>
      <c r="G76">
        <v>3</v>
      </c>
      <c r="H76" t="s">
        <v>35</v>
      </c>
      <c r="I76">
        <v>2406.25</v>
      </c>
      <c r="J76">
        <v>962.5</v>
      </c>
      <c r="K76">
        <v>0</v>
      </c>
      <c r="L76">
        <v>800</v>
      </c>
      <c r="M76">
        <v>21440</v>
      </c>
      <c r="N76" s="1">
        <f t="shared" si="1"/>
        <v>4020</v>
      </c>
      <c r="O76">
        <v>2002.5</v>
      </c>
      <c r="P76">
        <v>1250</v>
      </c>
      <c r="Q76">
        <v>3750</v>
      </c>
      <c r="R76">
        <v>400</v>
      </c>
      <c r="S76">
        <v>908.5</v>
      </c>
      <c r="T76" s="8"/>
      <c r="U76" s="7">
        <v>268000</v>
      </c>
      <c r="V76" s="9">
        <v>176095.97828888305</v>
      </c>
      <c r="W76" s="14">
        <v>0.91023064349236671</v>
      </c>
      <c r="X76" s="14">
        <v>0.49672045113312263</v>
      </c>
      <c r="Y76" s="14">
        <v>0.72170482905279942</v>
      </c>
      <c r="Z76" s="15">
        <v>46326</v>
      </c>
      <c r="AA76" s="10">
        <v>227493.06250000003</v>
      </c>
      <c r="AB76">
        <v>51397.084211116831</v>
      </c>
      <c r="AC76" s="10">
        <v>1.302109927266307</v>
      </c>
      <c r="AD76" s="14">
        <v>0.23650911450386047</v>
      </c>
      <c r="AE76" s="14">
        <f t="shared" si="3"/>
        <v>0.5</v>
      </c>
      <c r="AF76" s="14">
        <f t="shared" si="2"/>
        <v>0</v>
      </c>
      <c r="AG76" s="14">
        <f t="shared" si="4"/>
        <v>0</v>
      </c>
      <c r="AH76" s="14">
        <f t="shared" si="5"/>
        <v>0.5</v>
      </c>
      <c r="AI76" s="6">
        <v>45939</v>
      </c>
      <c r="AJ76">
        <v>192597.45227262596</v>
      </c>
    </row>
    <row r="77" spans="1:36" ht="15.75" x14ac:dyDescent="0.25">
      <c r="A77">
        <v>6199</v>
      </c>
      <c r="B77">
        <v>1</v>
      </c>
      <c r="C77">
        <v>2</v>
      </c>
      <c r="D77">
        <v>4</v>
      </c>
      <c r="E77" t="s">
        <v>35</v>
      </c>
      <c r="F77">
        <v>4</v>
      </c>
      <c r="G77">
        <v>3</v>
      </c>
      <c r="H77" t="s">
        <v>35</v>
      </c>
      <c r="I77">
        <v>3456.25</v>
      </c>
      <c r="J77">
        <v>1382.5</v>
      </c>
      <c r="K77">
        <v>0</v>
      </c>
      <c r="L77">
        <v>800</v>
      </c>
      <c r="M77">
        <v>29622</v>
      </c>
      <c r="N77" s="1">
        <f t="shared" si="1"/>
        <v>5554.125</v>
      </c>
      <c r="O77">
        <v>2880</v>
      </c>
      <c r="P77">
        <v>1250</v>
      </c>
      <c r="Q77">
        <v>3750</v>
      </c>
      <c r="R77">
        <v>400</v>
      </c>
      <c r="S77">
        <v>917.72500000000002</v>
      </c>
      <c r="T77" s="8"/>
      <c r="U77" s="7">
        <v>370275</v>
      </c>
      <c r="V77" s="9">
        <v>202818.87143100001</v>
      </c>
      <c r="W77" s="14">
        <v>1.76932774881757</v>
      </c>
      <c r="X77" s="14">
        <v>0.89595000000000002</v>
      </c>
      <c r="Y77" s="14">
        <v>0.46625027915172418</v>
      </c>
      <c r="Z77" s="15">
        <v>46356</v>
      </c>
      <c r="AA77" s="10">
        <v>321135.66562499997</v>
      </c>
      <c r="AB77">
        <v>118316.79419400002</v>
      </c>
      <c r="AC77" s="10">
        <v>1.2963489588641295</v>
      </c>
      <c r="AD77" s="14">
        <v>0.43061608672142027</v>
      </c>
      <c r="AE77" s="14">
        <f t="shared" si="3"/>
        <v>0.5</v>
      </c>
      <c r="AF77" s="14">
        <f t="shared" si="2"/>
        <v>0</v>
      </c>
      <c r="AG77" s="14">
        <f t="shared" si="4"/>
        <v>0</v>
      </c>
      <c r="AH77" s="14">
        <f t="shared" si="5"/>
        <v>0.5</v>
      </c>
      <c r="AI77" s="6">
        <v>45939</v>
      </c>
      <c r="AJ77">
        <v>269037.85768806026</v>
      </c>
    </row>
    <row r="78" spans="1:36" ht="15.75" x14ac:dyDescent="0.25">
      <c r="A78">
        <v>6200</v>
      </c>
      <c r="B78">
        <v>1</v>
      </c>
      <c r="C78">
        <v>2</v>
      </c>
      <c r="D78">
        <v>4</v>
      </c>
      <c r="E78">
        <v>4</v>
      </c>
      <c r="F78">
        <v>4</v>
      </c>
      <c r="G78">
        <v>3</v>
      </c>
      <c r="H78">
        <v>110000</v>
      </c>
      <c r="I78">
        <v>398.16562500000003</v>
      </c>
      <c r="J78">
        <v>6075</v>
      </c>
      <c r="K78">
        <v>0</v>
      </c>
      <c r="L78">
        <v>1600</v>
      </c>
      <c r="M78">
        <v>70240</v>
      </c>
      <c r="N78" s="1">
        <f t="shared" si="1"/>
        <v>13170</v>
      </c>
      <c r="O78" t="s">
        <v>35</v>
      </c>
      <c r="P78">
        <v>1687.5</v>
      </c>
      <c r="Q78">
        <v>3750</v>
      </c>
      <c r="R78">
        <v>400</v>
      </c>
      <c r="S78">
        <v>1079.5</v>
      </c>
      <c r="T78" s="8"/>
      <c r="U78" s="7">
        <v>878000</v>
      </c>
      <c r="V78" s="9">
        <v>473060.42700025666</v>
      </c>
      <c r="W78" s="14">
        <v>1.1897461184781863</v>
      </c>
      <c r="X78" s="14">
        <v>0.45680073281974309</v>
      </c>
      <c r="Y78" s="14">
        <v>0.72778527230808721</v>
      </c>
      <c r="Z78" s="15">
        <v>46446</v>
      </c>
      <c r="AA78" s="10">
        <v>661179.45468750002</v>
      </c>
      <c r="AB78">
        <v>188119.02768724365</v>
      </c>
      <c r="AC78" s="10">
        <v>1.3055419272285076</v>
      </c>
      <c r="AD78" s="14">
        <v>0.23778122067451479</v>
      </c>
      <c r="AE78" s="14">
        <f t="shared" si="3"/>
        <v>0</v>
      </c>
      <c r="AF78" s="14">
        <f t="shared" si="2"/>
        <v>0.5</v>
      </c>
      <c r="AG78" s="14">
        <f t="shared" si="4"/>
        <v>0.5</v>
      </c>
      <c r="AH78" s="14">
        <f t="shared" si="5"/>
        <v>0</v>
      </c>
      <c r="AI78" s="6">
        <v>45939</v>
      </c>
      <c r="AJ78">
        <v>532000.54185710929</v>
      </c>
    </row>
    <row r="79" spans="1:36" ht="15.75" x14ac:dyDescent="0.25">
      <c r="A79">
        <v>6201</v>
      </c>
      <c r="B79">
        <v>1</v>
      </c>
      <c r="C79">
        <v>2</v>
      </c>
      <c r="D79">
        <v>4</v>
      </c>
      <c r="E79" t="s">
        <v>35</v>
      </c>
      <c r="F79">
        <v>4</v>
      </c>
      <c r="G79">
        <v>3</v>
      </c>
      <c r="H79" t="s">
        <v>35</v>
      </c>
      <c r="I79">
        <v>126.16770833333335</v>
      </c>
      <c r="J79">
        <v>1925</v>
      </c>
      <c r="K79">
        <v>0</v>
      </c>
      <c r="L79">
        <v>800</v>
      </c>
      <c r="M79">
        <v>22000</v>
      </c>
      <c r="N79" s="1">
        <f t="shared" si="1"/>
        <v>4125</v>
      </c>
      <c r="O79">
        <v>2062.5</v>
      </c>
      <c r="P79">
        <v>1687.5</v>
      </c>
      <c r="Q79">
        <v>3750</v>
      </c>
      <c r="R79">
        <v>400</v>
      </c>
      <c r="S79">
        <v>863.5</v>
      </c>
      <c r="T79" s="8"/>
      <c r="U79" s="7">
        <v>275000</v>
      </c>
      <c r="V79" s="9">
        <v>199199.55</v>
      </c>
      <c r="W79" s="14">
        <v>1.2760373544124248</v>
      </c>
      <c r="X79" s="14">
        <v>0.44072082443122823</v>
      </c>
      <c r="Y79" s="14">
        <v>0.71142696428571428</v>
      </c>
      <c r="Z79" s="15">
        <v>46326</v>
      </c>
      <c r="AA79" s="10">
        <v>234656.84427083333</v>
      </c>
      <c r="AB79">
        <v>35457.294270833198</v>
      </c>
      <c r="AC79" s="10">
        <v>1.2810810544853344</v>
      </c>
      <c r="AD79" s="14">
        <v>0.14596340060234073</v>
      </c>
      <c r="AE79" s="14">
        <f t="shared" si="3"/>
        <v>0.5</v>
      </c>
      <c r="AF79" s="14">
        <f t="shared" si="2"/>
        <v>0</v>
      </c>
      <c r="AG79" s="14">
        <f t="shared" si="4"/>
        <v>0</v>
      </c>
      <c r="AH79" s="14">
        <f t="shared" si="5"/>
        <v>0.5</v>
      </c>
      <c r="AI79" s="6">
        <v>45939</v>
      </c>
      <c r="AJ79">
        <v>198731.36420090587</v>
      </c>
    </row>
    <row r="80" spans="1:36" ht="15.75" x14ac:dyDescent="0.25">
      <c r="A80">
        <v>6202</v>
      </c>
      <c r="B80">
        <v>1</v>
      </c>
      <c r="C80">
        <v>2</v>
      </c>
      <c r="D80">
        <v>4</v>
      </c>
      <c r="E80" t="s">
        <v>35</v>
      </c>
      <c r="F80">
        <v>4</v>
      </c>
      <c r="G80">
        <v>3</v>
      </c>
      <c r="H80" t="s">
        <v>35</v>
      </c>
      <c r="I80">
        <v>114.69791666666667</v>
      </c>
      <c r="J80">
        <v>1750</v>
      </c>
      <c r="K80">
        <v>0</v>
      </c>
      <c r="L80">
        <v>800</v>
      </c>
      <c r="M80">
        <v>18956</v>
      </c>
      <c r="N80" s="1">
        <f t="shared" si="1"/>
        <v>3554.25</v>
      </c>
      <c r="O80">
        <v>1875</v>
      </c>
      <c r="P80">
        <v>1687.5</v>
      </c>
      <c r="Q80">
        <v>3750</v>
      </c>
      <c r="R80">
        <v>400</v>
      </c>
      <c r="S80">
        <v>865.97500000000002</v>
      </c>
      <c r="T80" s="8"/>
      <c r="U80" s="7">
        <v>236950</v>
      </c>
      <c r="V80" s="9">
        <v>127002.45353400001</v>
      </c>
      <c r="W80" s="14">
        <v>1.8132628554140702</v>
      </c>
      <c r="X80" s="14">
        <v>0.89595000000000014</v>
      </c>
      <c r="Y80" s="14">
        <v>0.4345931278603033</v>
      </c>
      <c r="Z80" s="15">
        <v>46326</v>
      </c>
      <c r="AA80" s="10">
        <v>203666.85260416666</v>
      </c>
      <c r="AB80">
        <v>76664.399070166663</v>
      </c>
      <c r="AC80" s="10">
        <v>1.2812927758276822</v>
      </c>
      <c r="AD80" s="14">
        <v>0.47724944949150083</v>
      </c>
      <c r="AE80" s="14">
        <f t="shared" si="3"/>
        <v>0.5</v>
      </c>
      <c r="AF80" s="14">
        <f t="shared" si="2"/>
        <v>0</v>
      </c>
      <c r="AG80" s="14">
        <f t="shared" si="4"/>
        <v>0</v>
      </c>
      <c r="AH80" s="14">
        <f t="shared" si="5"/>
        <v>0.5</v>
      </c>
      <c r="AI80" s="6">
        <v>45939</v>
      </c>
      <c r="AJ80">
        <v>172419.75290145492</v>
      </c>
    </row>
    <row r="81" spans="1:36" ht="15.75" x14ac:dyDescent="0.25">
      <c r="A81">
        <v>6203</v>
      </c>
      <c r="B81">
        <v>1</v>
      </c>
      <c r="C81">
        <v>2</v>
      </c>
      <c r="D81">
        <v>5</v>
      </c>
      <c r="E81">
        <v>4</v>
      </c>
      <c r="F81">
        <v>4</v>
      </c>
      <c r="G81">
        <v>3</v>
      </c>
      <c r="H81">
        <v>100000</v>
      </c>
      <c r="I81">
        <v>4067.0291666666667</v>
      </c>
      <c r="J81">
        <v>1947.5</v>
      </c>
      <c r="K81">
        <v>0</v>
      </c>
      <c r="L81">
        <v>1760</v>
      </c>
      <c r="M81">
        <v>30880</v>
      </c>
      <c r="N81" s="1">
        <f t="shared" si="1"/>
        <v>5790</v>
      </c>
      <c r="O81" t="s">
        <v>35</v>
      </c>
      <c r="P81">
        <v>2250</v>
      </c>
      <c r="Q81">
        <v>3750</v>
      </c>
      <c r="R81">
        <v>400</v>
      </c>
      <c r="S81">
        <v>1169.5</v>
      </c>
      <c r="T81" s="8"/>
      <c r="U81" s="7">
        <v>386000</v>
      </c>
      <c r="V81" s="9">
        <v>157857.13715381903</v>
      </c>
      <c r="W81" s="14">
        <v>1.8239235629041353</v>
      </c>
      <c r="X81" s="14">
        <v>0.81290684845407679</v>
      </c>
      <c r="Y81" s="14">
        <v>0.92857139502246488</v>
      </c>
      <c r="Z81" s="15">
        <v>46477</v>
      </c>
      <c r="AA81" s="10">
        <v>230442.52499999997</v>
      </c>
      <c r="AB81">
        <v>72585.387846181169</v>
      </c>
      <c r="AC81" s="10">
        <v>1.2293317348483501</v>
      </c>
      <c r="AD81" s="14">
        <v>0.23533223271369932</v>
      </c>
      <c r="AE81" s="14">
        <f t="shared" si="3"/>
        <v>0</v>
      </c>
      <c r="AF81" s="14">
        <f t="shared" si="2"/>
        <v>0.5</v>
      </c>
      <c r="AG81" s="14">
        <f t="shared" si="4"/>
        <v>0.5</v>
      </c>
      <c r="AH81" s="14">
        <f t="shared" si="5"/>
        <v>0</v>
      </c>
      <c r="AI81" s="6">
        <v>45939</v>
      </c>
      <c r="AJ81">
        <v>180010.30585571189</v>
      </c>
    </row>
    <row r="82" spans="1:36" ht="15.75" x14ac:dyDescent="0.25">
      <c r="A82">
        <v>6204</v>
      </c>
      <c r="B82">
        <v>1</v>
      </c>
      <c r="C82">
        <v>2</v>
      </c>
      <c r="D82">
        <v>5</v>
      </c>
      <c r="E82" t="s">
        <v>35</v>
      </c>
      <c r="F82">
        <v>4</v>
      </c>
      <c r="G82">
        <v>3</v>
      </c>
      <c r="H82" t="s">
        <v>35</v>
      </c>
      <c r="I82">
        <v>3837.3125</v>
      </c>
      <c r="J82">
        <v>1837.5</v>
      </c>
      <c r="K82">
        <v>0</v>
      </c>
      <c r="L82">
        <v>880</v>
      </c>
      <c r="M82">
        <v>20040</v>
      </c>
      <c r="N82" s="1">
        <f t="shared" si="1"/>
        <v>3757.5</v>
      </c>
      <c r="O82">
        <v>1890</v>
      </c>
      <c r="P82">
        <v>2250</v>
      </c>
      <c r="Q82">
        <v>3750</v>
      </c>
      <c r="R82">
        <v>400</v>
      </c>
      <c r="S82">
        <v>953.5</v>
      </c>
      <c r="T82" s="8"/>
      <c r="U82" s="7">
        <v>250500</v>
      </c>
      <c r="V82" s="9">
        <v>165417.25750000001</v>
      </c>
      <c r="W82" s="14">
        <v>1.9428392408354886</v>
      </c>
      <c r="X82" s="14">
        <v>0.81384655043290255</v>
      </c>
      <c r="Y82" s="14">
        <v>0.70994531115879833</v>
      </c>
      <c r="Z82" s="15">
        <v>46356</v>
      </c>
      <c r="AA82" s="10">
        <v>208788.75833333333</v>
      </c>
      <c r="AB82">
        <v>43371.500833333237</v>
      </c>
      <c r="AC82" s="10">
        <v>1.2843171074145474</v>
      </c>
      <c r="AD82" s="14">
        <v>0.19502733349800111</v>
      </c>
      <c r="AE82" s="14">
        <f t="shared" si="3"/>
        <v>0.5</v>
      </c>
      <c r="AF82" s="14">
        <f t="shared" si="2"/>
        <v>0</v>
      </c>
      <c r="AG82" s="14">
        <f t="shared" si="4"/>
        <v>0</v>
      </c>
      <c r="AH82" s="14">
        <f t="shared" si="5"/>
        <v>0.5</v>
      </c>
      <c r="AI82" s="6">
        <v>45939</v>
      </c>
      <c r="AJ82">
        <v>174287.09131073585</v>
      </c>
    </row>
    <row r="83" spans="1:36" ht="15.75" x14ac:dyDescent="0.25">
      <c r="A83">
        <v>6205</v>
      </c>
      <c r="B83">
        <v>1</v>
      </c>
      <c r="C83">
        <v>2</v>
      </c>
      <c r="D83">
        <v>5</v>
      </c>
      <c r="E83" t="s">
        <v>35</v>
      </c>
      <c r="F83">
        <v>4</v>
      </c>
      <c r="G83">
        <v>3</v>
      </c>
      <c r="H83" t="s">
        <v>35</v>
      </c>
      <c r="I83">
        <v>4620.4375</v>
      </c>
      <c r="J83">
        <v>2212.5</v>
      </c>
      <c r="K83">
        <v>0</v>
      </c>
      <c r="L83">
        <v>880</v>
      </c>
      <c r="M83">
        <v>24120</v>
      </c>
      <c r="N83" s="1">
        <f t="shared" si="1"/>
        <v>4522.5</v>
      </c>
      <c r="O83">
        <v>2272.5</v>
      </c>
      <c r="P83">
        <v>2250</v>
      </c>
      <c r="Q83">
        <v>3750</v>
      </c>
      <c r="R83">
        <v>400</v>
      </c>
      <c r="S83">
        <v>953.5</v>
      </c>
      <c r="T83" s="8"/>
      <c r="U83" s="7">
        <v>301500</v>
      </c>
      <c r="V83" s="9">
        <v>201178.60399999999</v>
      </c>
      <c r="W83" s="14">
        <v>1.0809738417882411</v>
      </c>
      <c r="X83" s="14">
        <v>0.5335177153084314</v>
      </c>
      <c r="Y83" s="14">
        <v>0.77376386153846155</v>
      </c>
      <c r="Z83" s="15">
        <v>46356</v>
      </c>
      <c r="AA83" s="10">
        <v>252970.3416666667</v>
      </c>
      <c r="AB83">
        <v>51791.737666666682</v>
      </c>
      <c r="AC83" s="10">
        <v>1.3116983746867958</v>
      </c>
      <c r="AD83" s="14">
        <v>0.19274869561195376</v>
      </c>
      <c r="AE83" s="14">
        <f t="shared" si="3"/>
        <v>0.5</v>
      </c>
      <c r="AF83" s="14">
        <f t="shared" si="2"/>
        <v>0</v>
      </c>
      <c r="AG83" s="14">
        <f t="shared" si="4"/>
        <v>0</v>
      </c>
      <c r="AH83" s="14">
        <f t="shared" si="5"/>
        <v>0.5</v>
      </c>
      <c r="AI83" s="6">
        <v>45939</v>
      </c>
      <c r="AJ83">
        <v>211373.23278710595</v>
      </c>
    </row>
    <row r="84" spans="1:36" ht="15.75" x14ac:dyDescent="0.25">
      <c r="A84">
        <v>6206</v>
      </c>
      <c r="B84">
        <v>1</v>
      </c>
      <c r="C84">
        <v>2</v>
      </c>
      <c r="D84">
        <v>5</v>
      </c>
      <c r="E84">
        <v>4</v>
      </c>
      <c r="F84">
        <v>4</v>
      </c>
      <c r="G84">
        <v>3</v>
      </c>
      <c r="H84">
        <v>125000</v>
      </c>
      <c r="I84">
        <v>10117.975</v>
      </c>
      <c r="J84">
        <v>4845</v>
      </c>
      <c r="K84">
        <v>0</v>
      </c>
      <c r="L84">
        <v>1760</v>
      </c>
      <c r="M84">
        <v>63920</v>
      </c>
      <c r="N84" s="1">
        <f t="shared" si="1"/>
        <v>11985</v>
      </c>
      <c r="O84" t="s">
        <v>35</v>
      </c>
      <c r="P84">
        <v>2250</v>
      </c>
      <c r="Q84">
        <v>3750</v>
      </c>
      <c r="R84">
        <v>400</v>
      </c>
      <c r="S84">
        <v>1169.5</v>
      </c>
      <c r="T84" s="8"/>
      <c r="U84" s="7">
        <v>799000</v>
      </c>
      <c r="V84" s="9">
        <v>388362.46899999998</v>
      </c>
      <c r="W84" s="14">
        <v>1.6436062131441023</v>
      </c>
      <c r="X84" s="14">
        <v>0.88681186516407706</v>
      </c>
      <c r="Y84" s="14">
        <v>0.98319612405063284</v>
      </c>
      <c r="Z84" s="15">
        <v>46477</v>
      </c>
      <c r="AA84" s="10">
        <v>566600.05000000005</v>
      </c>
      <c r="AB84">
        <v>178237.58100000018</v>
      </c>
      <c r="AC84" s="10">
        <v>1.2974152145916584</v>
      </c>
      <c r="AD84" s="14">
        <v>0.25014811158180228</v>
      </c>
      <c r="AE84" s="14">
        <f t="shared" si="3"/>
        <v>0</v>
      </c>
      <c r="AF84" s="14">
        <f t="shared" si="2"/>
        <v>0.5</v>
      </c>
      <c r="AG84" s="14">
        <f t="shared" si="4"/>
        <v>0.5</v>
      </c>
      <c r="AH84" s="14">
        <f t="shared" si="5"/>
        <v>0</v>
      </c>
      <c r="AI84" s="6">
        <v>45939</v>
      </c>
      <c r="AJ84">
        <v>448484.60126919183</v>
      </c>
    </row>
    <row r="85" spans="1:36" ht="15.75" x14ac:dyDescent="0.25">
      <c r="A85">
        <v>6207</v>
      </c>
      <c r="B85">
        <v>1</v>
      </c>
      <c r="C85">
        <v>2</v>
      </c>
      <c r="D85">
        <v>5</v>
      </c>
      <c r="E85" t="s">
        <v>35</v>
      </c>
      <c r="F85">
        <v>4</v>
      </c>
      <c r="G85">
        <v>3</v>
      </c>
      <c r="H85" t="s">
        <v>35</v>
      </c>
      <c r="I85">
        <v>4620.4375</v>
      </c>
      <c r="J85">
        <v>2212.5</v>
      </c>
      <c r="K85">
        <v>0</v>
      </c>
      <c r="L85">
        <v>880</v>
      </c>
      <c r="M85">
        <v>24120</v>
      </c>
      <c r="N85" s="1">
        <f t="shared" si="1"/>
        <v>4522.5</v>
      </c>
      <c r="O85">
        <v>2272.5</v>
      </c>
      <c r="P85">
        <v>2250</v>
      </c>
      <c r="Q85">
        <v>3750</v>
      </c>
      <c r="R85">
        <v>400</v>
      </c>
      <c r="S85">
        <v>953.5</v>
      </c>
      <c r="T85" s="8"/>
      <c r="U85" s="7">
        <v>301500</v>
      </c>
      <c r="V85" s="9">
        <v>201178.60399999999</v>
      </c>
      <c r="W85" s="14">
        <v>0.94978252765709614</v>
      </c>
      <c r="X85" s="14">
        <v>0.35752903108604805</v>
      </c>
      <c r="Y85" s="14">
        <v>0.78893570196078433</v>
      </c>
      <c r="Z85" s="15">
        <v>46356</v>
      </c>
      <c r="AA85" s="10">
        <v>252970.3416666667</v>
      </c>
      <c r="AB85">
        <v>51791.737666666682</v>
      </c>
      <c r="AC85" s="10">
        <v>1.3126161077838996</v>
      </c>
      <c r="AD85" s="14">
        <v>0.19274869561195376</v>
      </c>
      <c r="AE85" s="14">
        <f t="shared" si="3"/>
        <v>0.5</v>
      </c>
      <c r="AF85" s="14">
        <f t="shared" si="2"/>
        <v>0</v>
      </c>
      <c r="AG85" s="14">
        <f t="shared" si="4"/>
        <v>0</v>
      </c>
      <c r="AH85" s="14">
        <f t="shared" si="5"/>
        <v>0.5</v>
      </c>
      <c r="AI85" s="6">
        <v>45939</v>
      </c>
      <c r="AJ85">
        <v>211373.23278710595</v>
      </c>
    </row>
    <row r="86" spans="1:36" ht="15.75" x14ac:dyDescent="0.25">
      <c r="A86">
        <v>6208</v>
      </c>
      <c r="B86">
        <v>1</v>
      </c>
      <c r="C86">
        <v>2</v>
      </c>
      <c r="D86">
        <v>5</v>
      </c>
      <c r="E86" t="s">
        <v>35</v>
      </c>
      <c r="F86">
        <v>4</v>
      </c>
      <c r="G86">
        <v>3</v>
      </c>
      <c r="H86" t="s">
        <v>35</v>
      </c>
      <c r="I86">
        <v>3524.0625</v>
      </c>
      <c r="J86">
        <v>1687.5</v>
      </c>
      <c r="K86">
        <v>0</v>
      </c>
      <c r="L86">
        <v>880</v>
      </c>
      <c r="M86">
        <v>18400</v>
      </c>
      <c r="N86" s="1">
        <f t="shared" si="1"/>
        <v>3450</v>
      </c>
      <c r="O86">
        <v>1732.5</v>
      </c>
      <c r="P86">
        <v>2250</v>
      </c>
      <c r="Q86">
        <v>3750</v>
      </c>
      <c r="R86">
        <v>400</v>
      </c>
      <c r="S86">
        <v>953.5</v>
      </c>
      <c r="T86" s="8"/>
      <c r="U86" s="7">
        <v>230000</v>
      </c>
      <c r="V86" s="9">
        <v>144488.2134910902</v>
      </c>
      <c r="W86" s="14">
        <v>1.4409111279334303</v>
      </c>
      <c r="X86" s="14">
        <v>0.61245953459659297</v>
      </c>
      <c r="Y86" s="14">
        <v>0.73344270807659995</v>
      </c>
      <c r="Z86" s="15">
        <v>46356</v>
      </c>
      <c r="AA86" s="10">
        <v>191027.375</v>
      </c>
      <c r="AB86">
        <v>46539.161508909689</v>
      </c>
      <c r="AC86" s="10">
        <v>1.2838451166751288</v>
      </c>
      <c r="AD86" s="14">
        <v>0.23717616200447081</v>
      </c>
      <c r="AE86" s="14">
        <f t="shared" si="3"/>
        <v>0.5</v>
      </c>
      <c r="AF86" s="14">
        <f t="shared" si="2"/>
        <v>0</v>
      </c>
      <c r="AG86" s="14">
        <f t="shared" si="4"/>
        <v>0</v>
      </c>
      <c r="AH86" s="14">
        <f t="shared" si="5"/>
        <v>0.5</v>
      </c>
      <c r="AI86" s="6">
        <v>45939</v>
      </c>
      <c r="AJ86">
        <v>159377.98157669971</v>
      </c>
    </row>
    <row r="87" spans="1:36" ht="15.75" x14ac:dyDescent="0.25">
      <c r="A87">
        <v>6209</v>
      </c>
      <c r="B87">
        <v>1</v>
      </c>
      <c r="C87">
        <v>2</v>
      </c>
      <c r="D87">
        <v>5</v>
      </c>
      <c r="E87">
        <v>4</v>
      </c>
      <c r="F87">
        <v>4</v>
      </c>
      <c r="G87">
        <v>3</v>
      </c>
      <c r="H87">
        <v>90000</v>
      </c>
      <c r="I87">
        <v>5852.5541666666659</v>
      </c>
      <c r="J87">
        <v>2802.5</v>
      </c>
      <c r="K87">
        <v>0</v>
      </c>
      <c r="L87">
        <v>1760</v>
      </c>
      <c r="M87">
        <v>37080</v>
      </c>
      <c r="N87" s="1">
        <f t="shared" si="1"/>
        <v>6952.5</v>
      </c>
      <c r="O87" t="s">
        <v>35</v>
      </c>
      <c r="P87">
        <v>2250</v>
      </c>
      <c r="Q87">
        <v>3750</v>
      </c>
      <c r="R87">
        <v>400</v>
      </c>
      <c r="S87">
        <v>1169.5</v>
      </c>
      <c r="T87" s="8"/>
      <c r="U87" s="7">
        <v>463500</v>
      </c>
      <c r="V87" s="9">
        <v>212583.42732664576</v>
      </c>
      <c r="W87" s="14">
        <v>1.1150669793992141</v>
      </c>
      <c r="X87" s="14">
        <v>0.51266445597646537</v>
      </c>
      <c r="Y87" s="14">
        <v>0.78734602713572499</v>
      </c>
      <c r="Z87" s="15">
        <v>46477</v>
      </c>
      <c r="AA87" s="10">
        <v>307303.47499999998</v>
      </c>
      <c r="AB87">
        <v>94720.047673354158</v>
      </c>
      <c r="AC87" s="10">
        <v>1.2732228200127023</v>
      </c>
      <c r="AD87" s="14">
        <v>0.23681595921516416</v>
      </c>
      <c r="AE87" s="14">
        <f t="shared" si="3"/>
        <v>0</v>
      </c>
      <c r="AF87" s="14">
        <f t="shared" si="2"/>
        <v>0.5</v>
      </c>
      <c r="AG87" s="14">
        <f t="shared" si="4"/>
        <v>0.5</v>
      </c>
      <c r="AH87" s="14">
        <f t="shared" si="5"/>
        <v>0</v>
      </c>
      <c r="AI87" s="6">
        <v>45939</v>
      </c>
      <c r="AJ87">
        <v>241869.48732430063</v>
      </c>
    </row>
    <row r="88" spans="1:36" ht="15.75" x14ac:dyDescent="0.25">
      <c r="A88">
        <v>6210</v>
      </c>
      <c r="B88">
        <v>1</v>
      </c>
      <c r="C88">
        <v>2</v>
      </c>
      <c r="D88">
        <v>5</v>
      </c>
      <c r="E88" t="s">
        <v>35</v>
      </c>
      <c r="F88">
        <v>4</v>
      </c>
      <c r="G88">
        <v>3</v>
      </c>
      <c r="H88" t="s">
        <v>35</v>
      </c>
      <c r="I88">
        <v>5873.4375</v>
      </c>
      <c r="J88">
        <v>2812.5</v>
      </c>
      <c r="K88">
        <v>0</v>
      </c>
      <c r="L88">
        <v>880</v>
      </c>
      <c r="M88">
        <v>30720</v>
      </c>
      <c r="N88" s="1">
        <f t="shared" si="1"/>
        <v>5760</v>
      </c>
      <c r="O88">
        <v>2895</v>
      </c>
      <c r="P88">
        <v>2250</v>
      </c>
      <c r="Q88">
        <v>3750</v>
      </c>
      <c r="R88">
        <v>400</v>
      </c>
      <c r="S88">
        <v>953.5</v>
      </c>
      <c r="T88" s="8"/>
      <c r="U88" s="7">
        <v>384000</v>
      </c>
      <c r="V88" s="9">
        <v>246366.93887149004</v>
      </c>
      <c r="W88" s="14">
        <v>1.6327817153181845</v>
      </c>
      <c r="X88" s="14">
        <v>0.84718741895229643</v>
      </c>
      <c r="Y88" s="14">
        <v>0.65697850365730681</v>
      </c>
      <c r="Z88" s="15">
        <v>46356</v>
      </c>
      <c r="AA88" s="10">
        <v>324459.625</v>
      </c>
      <c r="AB88">
        <v>78092.686128509988</v>
      </c>
      <c r="AC88" s="10">
        <v>1.4127326210371374</v>
      </c>
      <c r="AD88" s="14">
        <v>0.23732628226280214</v>
      </c>
      <c r="AE88" s="14">
        <f t="shared" si="3"/>
        <v>0.5</v>
      </c>
      <c r="AF88" s="14">
        <f t="shared" si="2"/>
        <v>0</v>
      </c>
      <c r="AG88" s="14">
        <f t="shared" si="4"/>
        <v>0</v>
      </c>
      <c r="AH88" s="14">
        <f t="shared" si="5"/>
        <v>0.5</v>
      </c>
      <c r="AI88" s="6">
        <v>45939</v>
      </c>
      <c r="AJ88">
        <v>271382.93744069122</v>
      </c>
    </row>
    <row r="89" spans="1:36" ht="15.75" x14ac:dyDescent="0.25">
      <c r="A89">
        <v>6211</v>
      </c>
      <c r="B89">
        <v>1</v>
      </c>
      <c r="C89">
        <v>2</v>
      </c>
      <c r="D89">
        <v>6</v>
      </c>
      <c r="E89">
        <v>4</v>
      </c>
      <c r="F89">
        <v>4</v>
      </c>
      <c r="G89">
        <v>3</v>
      </c>
      <c r="H89">
        <v>35000</v>
      </c>
      <c r="I89">
        <v>3812.5</v>
      </c>
      <c r="J89">
        <v>2500</v>
      </c>
      <c r="K89">
        <v>0</v>
      </c>
      <c r="L89">
        <v>1600</v>
      </c>
      <c r="M89">
        <v>36320</v>
      </c>
      <c r="N89" s="1">
        <f t="shared" si="1"/>
        <v>6810</v>
      </c>
      <c r="O89" t="s">
        <v>35</v>
      </c>
      <c r="P89">
        <v>1545</v>
      </c>
      <c r="Q89">
        <v>3750</v>
      </c>
      <c r="R89">
        <v>400</v>
      </c>
      <c r="S89">
        <v>1259.5</v>
      </c>
      <c r="T89" s="8"/>
      <c r="U89" s="7">
        <v>454000</v>
      </c>
      <c r="V89" s="9">
        <v>286811.51400000002</v>
      </c>
      <c r="W89" s="14">
        <v>1.6437131870021207</v>
      </c>
      <c r="X89" s="14">
        <v>0.79751133620468528</v>
      </c>
      <c r="Y89" s="14">
        <v>0.73541413846153858</v>
      </c>
      <c r="Z89" s="15">
        <v>46356</v>
      </c>
      <c r="AA89" s="10">
        <v>356778.625</v>
      </c>
      <c r="AB89">
        <v>69967.110999999626</v>
      </c>
      <c r="AC89" s="10">
        <v>1.2679457792183317</v>
      </c>
      <c r="AD89" s="14">
        <v>0.18164140582084659</v>
      </c>
      <c r="AE89" s="14">
        <f t="shared" si="3"/>
        <v>0</v>
      </c>
      <c r="AF89" s="14">
        <f t="shared" si="2"/>
        <v>0.5</v>
      </c>
      <c r="AG89" s="14">
        <f t="shared" si="4"/>
        <v>0.5</v>
      </c>
      <c r="AH89" s="14">
        <f t="shared" si="5"/>
        <v>0</v>
      </c>
      <c r="AI89" s="6">
        <v>45939</v>
      </c>
      <c r="AJ89">
        <v>297761.91875454318</v>
      </c>
    </row>
    <row r="90" spans="1:36" ht="15.75" x14ac:dyDescent="0.25">
      <c r="A90">
        <v>6212</v>
      </c>
      <c r="B90">
        <v>1</v>
      </c>
      <c r="C90">
        <v>2</v>
      </c>
      <c r="D90">
        <v>6</v>
      </c>
      <c r="E90" t="s">
        <v>35</v>
      </c>
      <c r="F90">
        <v>4</v>
      </c>
      <c r="G90">
        <v>3</v>
      </c>
      <c r="H90" t="s">
        <v>35</v>
      </c>
      <c r="I90">
        <v>1789.3333333333333</v>
      </c>
      <c r="J90">
        <v>1173.3333333333333</v>
      </c>
      <c r="K90">
        <v>880</v>
      </c>
      <c r="L90">
        <v>800</v>
      </c>
      <c r="M90">
        <v>17840</v>
      </c>
      <c r="N90" s="1">
        <f t="shared" si="1"/>
        <v>3345</v>
      </c>
      <c r="O90">
        <v>1680</v>
      </c>
      <c r="P90">
        <v>1545</v>
      </c>
      <c r="Q90">
        <v>3750</v>
      </c>
      <c r="R90">
        <v>400</v>
      </c>
      <c r="S90">
        <v>1043.5</v>
      </c>
      <c r="T90" s="8"/>
      <c r="U90" s="7">
        <v>223000</v>
      </c>
      <c r="V90" s="9">
        <v>159459.19</v>
      </c>
      <c r="W90" s="14">
        <v>0.91843219728848602</v>
      </c>
      <c r="X90" s="14">
        <v>0.35879644489554113</v>
      </c>
      <c r="Y90" s="14">
        <v>0.66441329166666663</v>
      </c>
      <c r="Z90" s="15">
        <v>46142</v>
      </c>
      <c r="AA90" s="10">
        <v>186771.5</v>
      </c>
      <c r="AB90">
        <v>27312.309999999998</v>
      </c>
      <c r="AC90" s="10">
        <v>1.2029351864322473</v>
      </c>
      <c r="AD90" s="14">
        <v>0.25857383608818063</v>
      </c>
      <c r="AE90" s="14">
        <f t="shared" si="3"/>
        <v>0.5</v>
      </c>
      <c r="AF90" s="14">
        <f t="shared" si="2"/>
        <v>0</v>
      </c>
      <c r="AG90" s="14">
        <f t="shared" si="4"/>
        <v>0</v>
      </c>
      <c r="AH90" s="14">
        <f t="shared" si="5"/>
        <v>0.5</v>
      </c>
      <c r="AI90" s="6">
        <v>45939</v>
      </c>
      <c r="AJ90">
        <v>169760.49288346217</v>
      </c>
    </row>
    <row r="91" spans="1:36" ht="15.75" x14ac:dyDescent="0.25">
      <c r="A91">
        <v>6213</v>
      </c>
      <c r="B91">
        <v>1</v>
      </c>
      <c r="C91">
        <v>2</v>
      </c>
      <c r="D91">
        <v>6</v>
      </c>
      <c r="E91">
        <v>4</v>
      </c>
      <c r="F91">
        <v>4</v>
      </c>
      <c r="G91">
        <v>3</v>
      </c>
      <c r="H91">
        <v>250000</v>
      </c>
      <c r="I91">
        <v>9300</v>
      </c>
      <c r="J91">
        <v>1500</v>
      </c>
      <c r="K91">
        <v>0</v>
      </c>
      <c r="L91">
        <v>800</v>
      </c>
      <c r="M91">
        <v>105680</v>
      </c>
      <c r="N91" s="1">
        <f t="shared" si="1"/>
        <v>19815</v>
      </c>
      <c r="O91" t="s">
        <v>35</v>
      </c>
      <c r="P91">
        <v>2025</v>
      </c>
      <c r="Q91">
        <v>3750</v>
      </c>
      <c r="R91">
        <v>400</v>
      </c>
      <c r="S91">
        <v>1304.5</v>
      </c>
      <c r="T91" s="8"/>
      <c r="U91" s="7">
        <v>1321000</v>
      </c>
      <c r="V91" s="9">
        <v>687014.46</v>
      </c>
      <c r="W91" s="14">
        <v>1.4136752734015126</v>
      </c>
      <c r="X91" s="14">
        <v>0.85759760434964349</v>
      </c>
      <c r="Y91" s="14">
        <v>0.55854834146341459</v>
      </c>
      <c r="Z91" s="15">
        <v>46418</v>
      </c>
      <c r="AA91" s="10">
        <v>913485.5</v>
      </c>
      <c r="AB91">
        <v>226471.04000000027</v>
      </c>
      <c r="AC91" s="10">
        <v>1.2649696538840693</v>
      </c>
      <c r="AD91" s="14">
        <v>0.20753766894340514</v>
      </c>
      <c r="AE91" s="14">
        <f t="shared" si="3"/>
        <v>0</v>
      </c>
      <c r="AF91" s="14">
        <f t="shared" si="2"/>
        <v>0.5</v>
      </c>
      <c r="AG91" s="14">
        <f t="shared" si="4"/>
        <v>0.5</v>
      </c>
      <c r="AH91" s="14">
        <f t="shared" si="5"/>
        <v>0</v>
      </c>
      <c r="AI91" s="6">
        <v>45939</v>
      </c>
      <c r="AJ91">
        <v>741770.04525544413</v>
      </c>
    </row>
    <row r="92" spans="1:36" ht="15.75" x14ac:dyDescent="0.25">
      <c r="A92">
        <v>6214</v>
      </c>
      <c r="B92">
        <v>1</v>
      </c>
      <c r="C92">
        <v>2</v>
      </c>
      <c r="D92">
        <v>6</v>
      </c>
      <c r="E92">
        <v>4</v>
      </c>
      <c r="F92">
        <v>4</v>
      </c>
      <c r="G92">
        <v>3</v>
      </c>
      <c r="H92">
        <v>35000</v>
      </c>
      <c r="I92">
        <v>4908.333333333333</v>
      </c>
      <c r="J92">
        <v>791.66666666666674</v>
      </c>
      <c r="K92">
        <v>0</v>
      </c>
      <c r="L92">
        <v>800</v>
      </c>
      <c r="M92">
        <v>41520</v>
      </c>
      <c r="N92" s="1">
        <f t="shared" si="1"/>
        <v>7785</v>
      </c>
      <c r="O92" t="s">
        <v>35</v>
      </c>
      <c r="P92">
        <v>2025</v>
      </c>
      <c r="Q92">
        <v>3750</v>
      </c>
      <c r="R92">
        <v>400</v>
      </c>
      <c r="S92">
        <v>1304.5</v>
      </c>
      <c r="T92" s="8"/>
      <c r="U92" s="7">
        <v>519000</v>
      </c>
      <c r="V92" s="9">
        <v>304165.07</v>
      </c>
      <c r="W92" s="14">
        <v>1.4770830136342359</v>
      </c>
      <c r="X92" s="14">
        <v>0.5619859152964839</v>
      </c>
      <c r="Y92" s="14">
        <v>0.73292787951807226</v>
      </c>
      <c r="Z92" s="15">
        <v>46507</v>
      </c>
      <c r="AA92" s="10">
        <v>415668</v>
      </c>
      <c r="AB92">
        <v>111502.93000000046</v>
      </c>
      <c r="AC92" s="10">
        <v>1.3515043448340647</v>
      </c>
      <c r="AD92" s="14">
        <v>0.19793861508369448</v>
      </c>
      <c r="AE92" s="14">
        <f t="shared" si="3"/>
        <v>0</v>
      </c>
      <c r="AF92" s="14">
        <f t="shared" si="2"/>
        <v>0.5</v>
      </c>
      <c r="AG92" s="14">
        <f t="shared" si="4"/>
        <v>0.5</v>
      </c>
      <c r="AH92" s="14">
        <f t="shared" si="5"/>
        <v>0</v>
      </c>
      <c r="AI92" s="6">
        <v>45939</v>
      </c>
      <c r="AJ92">
        <v>327161.04433303972</v>
      </c>
    </row>
    <row r="93" spans="1:36" ht="15.75" x14ac:dyDescent="0.25">
      <c r="A93">
        <v>6215</v>
      </c>
      <c r="B93">
        <v>1</v>
      </c>
      <c r="C93">
        <v>2</v>
      </c>
      <c r="D93">
        <v>6</v>
      </c>
      <c r="E93" t="s">
        <v>35</v>
      </c>
      <c r="F93">
        <v>4</v>
      </c>
      <c r="G93">
        <v>3</v>
      </c>
      <c r="H93" t="s">
        <v>35</v>
      </c>
      <c r="I93">
        <v>6406.666666666667</v>
      </c>
      <c r="J93">
        <v>1033.3333333333333</v>
      </c>
      <c r="K93">
        <v>0</v>
      </c>
      <c r="L93">
        <v>400</v>
      </c>
      <c r="M93">
        <v>59200</v>
      </c>
      <c r="N93" s="1">
        <f t="shared" si="1"/>
        <v>11100</v>
      </c>
      <c r="O93">
        <v>5475</v>
      </c>
      <c r="P93">
        <v>2025</v>
      </c>
      <c r="Q93">
        <v>3750</v>
      </c>
      <c r="R93">
        <v>400</v>
      </c>
      <c r="S93">
        <v>1088.5</v>
      </c>
      <c r="T93" s="8"/>
      <c r="U93" s="7">
        <v>740000</v>
      </c>
      <c r="V93" s="9">
        <v>480199.15058958862</v>
      </c>
      <c r="W93" s="14">
        <v>0.78924621788925631</v>
      </c>
      <c r="X93" s="14">
        <v>0.42959599063810866</v>
      </c>
      <c r="Y93" s="14">
        <v>0.46621276756270741</v>
      </c>
      <c r="Z93" s="15">
        <v>46387</v>
      </c>
      <c r="AA93" s="10">
        <v>641879</v>
      </c>
      <c r="AB93">
        <v>161679.84941041138</v>
      </c>
      <c r="AC93" s="10">
        <v>1.3080983818351637</v>
      </c>
      <c r="AD93" s="14">
        <v>0.23839455246925356</v>
      </c>
      <c r="AE93" s="14">
        <f t="shared" si="3"/>
        <v>0.5</v>
      </c>
      <c r="AF93" s="14">
        <f t="shared" si="2"/>
        <v>0</v>
      </c>
      <c r="AG93" s="14">
        <f t="shared" si="4"/>
        <v>0</v>
      </c>
      <c r="AH93" s="14">
        <f t="shared" si="5"/>
        <v>0.5</v>
      </c>
      <c r="AI93" s="6">
        <v>45939</v>
      </c>
      <c r="AJ93">
        <v>532194.63840118563</v>
      </c>
    </row>
    <row r="94" spans="1:36" ht="15.75" x14ac:dyDescent="0.25">
      <c r="A94">
        <v>6216</v>
      </c>
      <c r="B94">
        <v>1</v>
      </c>
      <c r="C94">
        <v>2</v>
      </c>
      <c r="D94">
        <v>7</v>
      </c>
      <c r="E94">
        <v>4</v>
      </c>
      <c r="F94">
        <v>4</v>
      </c>
      <c r="G94">
        <v>3</v>
      </c>
      <c r="H94">
        <v>25000</v>
      </c>
      <c r="I94">
        <v>3901.625</v>
      </c>
      <c r="J94">
        <v>8575</v>
      </c>
      <c r="K94">
        <v>0</v>
      </c>
      <c r="L94">
        <v>800</v>
      </c>
      <c r="M94">
        <v>23200</v>
      </c>
      <c r="N94" s="1">
        <f t="shared" si="1"/>
        <v>4350</v>
      </c>
      <c r="O94" t="s">
        <v>35</v>
      </c>
      <c r="P94">
        <v>2000</v>
      </c>
      <c r="Q94">
        <v>3750</v>
      </c>
      <c r="R94">
        <v>400</v>
      </c>
      <c r="S94">
        <v>1340.5</v>
      </c>
      <c r="T94" s="8"/>
      <c r="U94" s="7">
        <v>290000</v>
      </c>
      <c r="V94" s="9">
        <v>169334.55</v>
      </c>
      <c r="W94" s="14">
        <v>1.2648788081760083</v>
      </c>
      <c r="X94" s="14">
        <v>0.37757898436635784</v>
      </c>
      <c r="Y94" s="14">
        <v>0.65128673076923072</v>
      </c>
      <c r="Z94" s="15">
        <v>46507</v>
      </c>
      <c r="AA94" s="10">
        <v>214774.0625</v>
      </c>
      <c r="AB94">
        <v>45439.512499999983</v>
      </c>
      <c r="AC94" s="10">
        <v>1.3039810273265715</v>
      </c>
      <c r="AD94" s="14">
        <v>0.14175451397895816</v>
      </c>
      <c r="AE94" s="14">
        <f t="shared" si="3"/>
        <v>0</v>
      </c>
      <c r="AF94" s="14">
        <f t="shared" si="2"/>
        <v>0.5</v>
      </c>
      <c r="AG94" s="14">
        <f t="shared" si="4"/>
        <v>0.5</v>
      </c>
      <c r="AH94" s="14">
        <f t="shared" si="5"/>
        <v>0</v>
      </c>
      <c r="AI94" s="6">
        <v>45939</v>
      </c>
      <c r="AJ94">
        <v>167505.23907105293</v>
      </c>
    </row>
    <row r="95" spans="1:36" ht="15.75" x14ac:dyDescent="0.25">
      <c r="A95">
        <v>6217</v>
      </c>
      <c r="B95">
        <v>1</v>
      </c>
      <c r="C95">
        <v>2</v>
      </c>
      <c r="D95">
        <v>7</v>
      </c>
      <c r="E95" t="s">
        <v>35</v>
      </c>
      <c r="F95">
        <v>4</v>
      </c>
      <c r="G95">
        <v>3</v>
      </c>
      <c r="H95" t="s">
        <v>35</v>
      </c>
      <c r="I95">
        <v>3158.458333333333</v>
      </c>
      <c r="J95">
        <v>6941.6666666666661</v>
      </c>
      <c r="K95">
        <v>0</v>
      </c>
      <c r="L95">
        <v>400</v>
      </c>
      <c r="M95">
        <v>18760</v>
      </c>
      <c r="N95" s="1">
        <f t="shared" si="1"/>
        <v>3517.5</v>
      </c>
      <c r="O95">
        <v>1732.5</v>
      </c>
      <c r="P95">
        <v>2000</v>
      </c>
      <c r="Q95">
        <v>3750</v>
      </c>
      <c r="R95">
        <v>400</v>
      </c>
      <c r="S95">
        <v>1178.5</v>
      </c>
      <c r="T95" s="8"/>
      <c r="U95" s="7">
        <v>234500</v>
      </c>
      <c r="V95" s="9">
        <v>157179.495</v>
      </c>
      <c r="W95" s="14">
        <v>1.4166564744824812</v>
      </c>
      <c r="X95" s="14">
        <v>0.79059535069288722</v>
      </c>
      <c r="Y95" s="14">
        <v>0.69857553333333333</v>
      </c>
      <c r="Z95" s="15">
        <v>46418</v>
      </c>
      <c r="AA95" s="10">
        <v>190587.1875</v>
      </c>
      <c r="AB95">
        <v>33407.692500000092</v>
      </c>
      <c r="AC95" s="10">
        <v>1.3343616205483335</v>
      </c>
      <c r="AD95" s="14">
        <v>0.13650222420692446</v>
      </c>
      <c r="AE95" s="14">
        <f t="shared" si="3"/>
        <v>0.5</v>
      </c>
      <c r="AF95" s="14">
        <f t="shared" si="2"/>
        <v>0</v>
      </c>
      <c r="AG95" s="14">
        <f t="shared" si="4"/>
        <v>0</v>
      </c>
      <c r="AH95" s="14">
        <f t="shared" si="5"/>
        <v>0.5</v>
      </c>
      <c r="AI95" s="6">
        <v>45939</v>
      </c>
      <c r="AJ95">
        <v>154808.8277458149</v>
      </c>
    </row>
    <row r="96" spans="1:36" ht="15.75" x14ac:dyDescent="0.25">
      <c r="A96">
        <v>6218</v>
      </c>
      <c r="B96">
        <v>1</v>
      </c>
      <c r="C96">
        <v>2</v>
      </c>
      <c r="D96">
        <v>7</v>
      </c>
      <c r="E96" t="s">
        <v>35</v>
      </c>
      <c r="F96">
        <v>4</v>
      </c>
      <c r="G96">
        <v>3</v>
      </c>
      <c r="H96" t="s">
        <v>35</v>
      </c>
      <c r="I96">
        <v>3803.041666666667</v>
      </c>
      <c r="J96">
        <v>8358.3333333333339</v>
      </c>
      <c r="K96">
        <v>0</v>
      </c>
      <c r="L96">
        <v>400</v>
      </c>
      <c r="M96">
        <v>22560</v>
      </c>
      <c r="N96" s="1">
        <f t="shared" si="1"/>
        <v>4230</v>
      </c>
      <c r="O96">
        <v>2085</v>
      </c>
      <c r="P96">
        <v>2000</v>
      </c>
      <c r="Q96">
        <v>3750</v>
      </c>
      <c r="R96">
        <v>400</v>
      </c>
      <c r="S96">
        <v>1178.5</v>
      </c>
      <c r="T96" s="8"/>
      <c r="U96" s="7">
        <v>282000</v>
      </c>
      <c r="V96" s="9">
        <v>167350.30964991401</v>
      </c>
      <c r="W96" s="14">
        <v>1.1716671567559913</v>
      </c>
      <c r="X96" s="14">
        <v>0.41674728202685485</v>
      </c>
      <c r="Y96" s="14">
        <v>0.51492402969204309</v>
      </c>
      <c r="Z96" s="15">
        <v>46418</v>
      </c>
      <c r="AA96" s="10">
        <v>230742.8125</v>
      </c>
      <c r="AB96">
        <v>63392.502850085904</v>
      </c>
      <c r="AC96" s="10">
        <v>1.3261730262589113</v>
      </c>
      <c r="AD96" s="14">
        <v>0.23853378891944885</v>
      </c>
      <c r="AE96" s="14">
        <f t="shared" si="3"/>
        <v>0.5</v>
      </c>
      <c r="AF96" s="14">
        <f t="shared" si="2"/>
        <v>0</v>
      </c>
      <c r="AG96" s="14">
        <f t="shared" si="4"/>
        <v>0</v>
      </c>
      <c r="AH96" s="14">
        <f t="shared" si="5"/>
        <v>0.5</v>
      </c>
      <c r="AI96" s="6">
        <v>45939</v>
      </c>
      <c r="AJ96">
        <v>187654.86114287778</v>
      </c>
    </row>
    <row r="97" spans="1:36" ht="15.75" x14ac:dyDescent="0.25">
      <c r="A97">
        <v>6219</v>
      </c>
      <c r="B97">
        <v>1</v>
      </c>
      <c r="C97">
        <v>2</v>
      </c>
      <c r="D97">
        <v>7</v>
      </c>
      <c r="E97">
        <v>4</v>
      </c>
      <c r="F97">
        <v>4</v>
      </c>
      <c r="G97">
        <v>3</v>
      </c>
      <c r="H97">
        <v>200000</v>
      </c>
      <c r="I97">
        <v>7166.25</v>
      </c>
      <c r="J97">
        <v>15750</v>
      </c>
      <c r="K97">
        <v>0</v>
      </c>
      <c r="L97">
        <v>800</v>
      </c>
      <c r="M97">
        <v>60800</v>
      </c>
      <c r="N97" s="1">
        <f t="shared" si="1"/>
        <v>11400</v>
      </c>
      <c r="O97" t="s">
        <v>35</v>
      </c>
      <c r="P97">
        <v>2000</v>
      </c>
      <c r="Q97">
        <v>3750</v>
      </c>
      <c r="R97">
        <v>400</v>
      </c>
      <c r="S97">
        <v>1340.5</v>
      </c>
      <c r="T97" s="8"/>
      <c r="U97" s="7">
        <v>760000</v>
      </c>
      <c r="V97" s="9">
        <v>323637.05</v>
      </c>
      <c r="W97" s="14">
        <v>0.88992571208385984</v>
      </c>
      <c r="X97" s="14">
        <v>0.34698133298676337</v>
      </c>
      <c r="Y97" s="14">
        <v>0.70355880434782603</v>
      </c>
      <c r="Z97" s="15">
        <v>46507</v>
      </c>
      <c r="AA97" s="10">
        <v>450730.125</v>
      </c>
      <c r="AB97">
        <v>127093.07499999995</v>
      </c>
      <c r="AC97" s="10">
        <v>1.2504970723452946</v>
      </c>
      <c r="AD97" s="14">
        <v>0.19642464518547065</v>
      </c>
      <c r="AE97" s="14">
        <f t="shared" si="3"/>
        <v>0</v>
      </c>
      <c r="AF97" s="14">
        <f t="shared" si="2"/>
        <v>0.5</v>
      </c>
      <c r="AG97" s="14">
        <f t="shared" si="4"/>
        <v>0.5</v>
      </c>
      <c r="AH97" s="14">
        <f t="shared" si="5"/>
        <v>0</v>
      </c>
      <c r="AI97" s="6">
        <v>45939</v>
      </c>
      <c r="AJ97">
        <v>349064.02027322329</v>
      </c>
    </row>
    <row r="98" spans="1:36" ht="15.75" x14ac:dyDescent="0.25">
      <c r="A98">
        <v>6220</v>
      </c>
      <c r="B98">
        <v>1</v>
      </c>
      <c r="C98">
        <v>2</v>
      </c>
      <c r="D98">
        <v>7</v>
      </c>
      <c r="E98" t="s">
        <v>35</v>
      </c>
      <c r="F98">
        <v>4</v>
      </c>
      <c r="G98">
        <v>3</v>
      </c>
      <c r="H98" t="s">
        <v>35</v>
      </c>
      <c r="I98">
        <v>3545.208333333333</v>
      </c>
      <c r="J98">
        <v>7791.6666666666661</v>
      </c>
      <c r="K98">
        <v>0</v>
      </c>
      <c r="L98">
        <v>400</v>
      </c>
      <c r="M98">
        <v>21080</v>
      </c>
      <c r="N98" s="1">
        <f t="shared" si="1"/>
        <v>3952.5</v>
      </c>
      <c r="O98">
        <v>1950</v>
      </c>
      <c r="P98">
        <v>2000</v>
      </c>
      <c r="Q98">
        <v>3750</v>
      </c>
      <c r="R98">
        <v>400</v>
      </c>
      <c r="S98">
        <v>1178.5</v>
      </c>
      <c r="T98" s="8"/>
      <c r="U98" s="7">
        <v>263500</v>
      </c>
      <c r="V98" s="9">
        <v>179805.21900000001</v>
      </c>
      <c r="W98" s="14">
        <v>1.7931709992230149</v>
      </c>
      <c r="X98" s="14">
        <v>0.7372061705727484</v>
      </c>
      <c r="Y98" s="14">
        <v>0.67851026037735851</v>
      </c>
      <c r="Z98" s="15">
        <v>46418</v>
      </c>
      <c r="AA98" s="10">
        <v>215124.3125</v>
      </c>
      <c r="AB98">
        <v>35319.093500000017</v>
      </c>
      <c r="AC98" s="10">
        <v>1.3088931724311508</v>
      </c>
      <c r="AD98" s="14">
        <v>0.12700887322425844</v>
      </c>
      <c r="AE98" s="14">
        <f t="shared" si="3"/>
        <v>0.5</v>
      </c>
      <c r="AF98" s="14">
        <f t="shared" si="2"/>
        <v>0</v>
      </c>
      <c r="AG98" s="14">
        <f t="shared" si="4"/>
        <v>0</v>
      </c>
      <c r="AH98" s="14">
        <f t="shared" si="5"/>
        <v>0.5</v>
      </c>
      <c r="AI98" s="6">
        <v>45939</v>
      </c>
      <c r="AJ98">
        <v>174881.2106686648</v>
      </c>
    </row>
    <row r="99" spans="1:36" ht="15.75" x14ac:dyDescent="0.25">
      <c r="A99">
        <v>6221</v>
      </c>
      <c r="B99">
        <v>1</v>
      </c>
      <c r="C99">
        <v>2</v>
      </c>
      <c r="D99">
        <v>7</v>
      </c>
      <c r="E99">
        <v>4</v>
      </c>
      <c r="F99">
        <v>4</v>
      </c>
      <c r="G99">
        <v>3</v>
      </c>
      <c r="H99">
        <v>35000</v>
      </c>
      <c r="I99">
        <v>4379.375</v>
      </c>
      <c r="J99">
        <v>9625</v>
      </c>
      <c r="K99">
        <v>0</v>
      </c>
      <c r="L99">
        <v>800</v>
      </c>
      <c r="M99">
        <v>28480</v>
      </c>
      <c r="N99" s="1">
        <f t="shared" si="1"/>
        <v>5340</v>
      </c>
      <c r="O99" t="s">
        <v>35</v>
      </c>
      <c r="P99">
        <v>2000</v>
      </c>
      <c r="Q99">
        <v>3750</v>
      </c>
      <c r="R99">
        <v>400</v>
      </c>
      <c r="S99">
        <v>1340.5</v>
      </c>
      <c r="T99" s="8"/>
      <c r="U99" s="7">
        <v>356000</v>
      </c>
      <c r="V99" s="9">
        <v>159329.77499999997</v>
      </c>
      <c r="W99" s="14">
        <v>2.0979552116938942</v>
      </c>
      <c r="X99" s="14">
        <v>0.87672137218396251</v>
      </c>
      <c r="Y99" s="14">
        <v>0.57938099999999992</v>
      </c>
      <c r="Z99" s="15">
        <v>46507</v>
      </c>
      <c r="AA99" s="10">
        <v>262425.4375</v>
      </c>
      <c r="AB99">
        <v>103095.66250000006</v>
      </c>
      <c r="AC99" s="10">
        <v>1.319148226943718</v>
      </c>
      <c r="AD99" s="14">
        <v>0.32048547863960275</v>
      </c>
      <c r="AE99" s="14">
        <f t="shared" si="3"/>
        <v>0</v>
      </c>
      <c r="AF99" s="14">
        <f t="shared" si="2"/>
        <v>0.5</v>
      </c>
      <c r="AG99" s="14">
        <f t="shared" si="4"/>
        <v>0.5</v>
      </c>
      <c r="AH99" s="14">
        <f t="shared" si="5"/>
        <v>0</v>
      </c>
      <c r="AI99" s="6">
        <v>45939</v>
      </c>
      <c r="AJ99">
        <v>204934.98163752267</v>
      </c>
    </row>
    <row r="100" spans="1:36" ht="15.75" x14ac:dyDescent="0.25">
      <c r="A100">
        <v>6222</v>
      </c>
      <c r="B100">
        <v>1</v>
      </c>
      <c r="C100">
        <v>2</v>
      </c>
      <c r="D100">
        <v>7</v>
      </c>
      <c r="E100" t="s">
        <v>35</v>
      </c>
      <c r="F100">
        <v>4</v>
      </c>
      <c r="G100">
        <v>3</v>
      </c>
      <c r="H100" t="s">
        <v>35</v>
      </c>
      <c r="I100">
        <v>13794.083333333332</v>
      </c>
      <c r="J100">
        <v>30316.666666666664</v>
      </c>
      <c r="K100">
        <v>0</v>
      </c>
      <c r="L100">
        <v>400</v>
      </c>
      <c r="M100">
        <v>82040</v>
      </c>
      <c r="N100" s="1">
        <f t="shared" si="1"/>
        <v>15382.5</v>
      </c>
      <c r="O100">
        <v>7582.5</v>
      </c>
      <c r="P100">
        <v>2000</v>
      </c>
      <c r="Q100">
        <v>3750</v>
      </c>
      <c r="R100">
        <v>400</v>
      </c>
      <c r="S100">
        <v>1178.5</v>
      </c>
      <c r="T100" s="8"/>
      <c r="U100" s="7">
        <v>1025500</v>
      </c>
      <c r="V100" s="9">
        <v>746724.55</v>
      </c>
      <c r="W100" s="14">
        <v>1.5933486846268949</v>
      </c>
      <c r="X100" s="14">
        <v>0.57816872598403279</v>
      </c>
      <c r="Y100" s="14">
        <v>0.74672455000000004</v>
      </c>
      <c r="Z100" s="15">
        <v>46418</v>
      </c>
      <c r="AA100" s="10">
        <v>859589.375</v>
      </c>
      <c r="AB100">
        <v>112864.8249999996</v>
      </c>
      <c r="AC100" s="10">
        <v>1.3379014867016141</v>
      </c>
      <c r="AD100" s="14">
        <v>0.10078243613243104</v>
      </c>
      <c r="AE100" s="14">
        <f t="shared" si="3"/>
        <v>0.5</v>
      </c>
      <c r="AF100" s="14">
        <f t="shared" si="2"/>
        <v>0</v>
      </c>
      <c r="AG100" s="14">
        <f t="shared" si="4"/>
        <v>0</v>
      </c>
      <c r="AH100" s="14">
        <f t="shared" si="5"/>
        <v>0.5</v>
      </c>
      <c r="AI100" s="6">
        <v>45939</v>
      </c>
      <c r="AJ100">
        <v>702057.44062422845</v>
      </c>
    </row>
    <row r="101" spans="1:36" ht="15.75" x14ac:dyDescent="0.25">
      <c r="A101">
        <v>6223</v>
      </c>
      <c r="B101">
        <v>1</v>
      </c>
      <c r="C101">
        <v>2</v>
      </c>
      <c r="D101">
        <v>7</v>
      </c>
      <c r="E101">
        <v>4</v>
      </c>
      <c r="F101">
        <v>4</v>
      </c>
      <c r="G101">
        <v>3</v>
      </c>
      <c r="H101">
        <v>35000</v>
      </c>
      <c r="I101">
        <v>3742.375</v>
      </c>
      <c r="J101">
        <v>8225</v>
      </c>
      <c r="K101">
        <v>0</v>
      </c>
      <c r="L101">
        <v>800</v>
      </c>
      <c r="M101">
        <v>22400</v>
      </c>
      <c r="N101" s="1">
        <f t="shared" si="1"/>
        <v>4200</v>
      </c>
      <c r="O101" t="s">
        <v>35</v>
      </c>
      <c r="P101">
        <v>2000</v>
      </c>
      <c r="Q101">
        <v>3750</v>
      </c>
      <c r="R101">
        <v>400</v>
      </c>
      <c r="S101">
        <v>1340.5</v>
      </c>
      <c r="T101" s="8"/>
      <c r="U101" s="7">
        <v>280000</v>
      </c>
      <c r="V101" s="9">
        <v>169414.19</v>
      </c>
      <c r="W101" s="14">
        <v>1.3930942356714087</v>
      </c>
      <c r="X101" s="14">
        <v>0.62960252366962266</v>
      </c>
      <c r="Y101" s="14">
        <v>0.59443575438596497</v>
      </c>
      <c r="Z101" s="15">
        <v>46356</v>
      </c>
      <c r="AA101" s="10">
        <v>196296.9375</v>
      </c>
      <c r="AB101">
        <v>26882.747500000085</v>
      </c>
      <c r="AC101" s="10">
        <v>1.2343113396810401</v>
      </c>
      <c r="AD101" s="14">
        <v>0.11406709551811217</v>
      </c>
      <c r="AE101" s="14">
        <f t="shared" si="3"/>
        <v>0</v>
      </c>
      <c r="AF101" s="14">
        <f t="shared" si="2"/>
        <v>0.5</v>
      </c>
      <c r="AG101" s="14">
        <f t="shared" si="4"/>
        <v>0.5</v>
      </c>
      <c r="AH101" s="14">
        <f t="shared" si="5"/>
        <v>0</v>
      </c>
      <c r="AI101" s="6">
        <v>45939</v>
      </c>
      <c r="AJ101">
        <v>162523.55331964567</v>
      </c>
    </row>
    <row r="102" spans="1:36" ht="15.75" x14ac:dyDescent="0.25">
      <c r="A102">
        <v>6224</v>
      </c>
      <c r="B102">
        <v>1</v>
      </c>
      <c r="C102">
        <v>2</v>
      </c>
      <c r="D102">
        <v>7</v>
      </c>
      <c r="E102">
        <v>4</v>
      </c>
      <c r="F102">
        <v>4</v>
      </c>
      <c r="G102">
        <v>3</v>
      </c>
      <c r="H102">
        <v>120000</v>
      </c>
      <c r="I102">
        <v>5812.625</v>
      </c>
      <c r="J102">
        <v>12775</v>
      </c>
      <c r="K102">
        <v>0</v>
      </c>
      <c r="L102">
        <v>800</v>
      </c>
      <c r="M102">
        <v>41440</v>
      </c>
      <c r="N102" s="1">
        <f t="shared" si="1"/>
        <v>7770</v>
      </c>
      <c r="O102" t="s">
        <v>35</v>
      </c>
      <c r="P102">
        <v>2000</v>
      </c>
      <c r="Q102">
        <v>3750</v>
      </c>
      <c r="R102">
        <v>400</v>
      </c>
      <c r="S102">
        <v>1340.5</v>
      </c>
      <c r="T102" s="8"/>
      <c r="U102" s="7">
        <v>518000</v>
      </c>
      <c r="V102" s="9">
        <v>214858.6486128605</v>
      </c>
      <c r="W102" s="14">
        <v>1.035833920794222</v>
      </c>
      <c r="X102" s="14">
        <v>0.55652054878892043</v>
      </c>
      <c r="Y102" s="14">
        <v>0.53849285366631705</v>
      </c>
      <c r="Z102" s="15">
        <v>46507</v>
      </c>
      <c r="AA102" s="10">
        <v>318159.56250000006</v>
      </c>
      <c r="AB102">
        <v>103300.91388713947</v>
      </c>
      <c r="AC102" s="10">
        <v>1.2610623810320729</v>
      </c>
      <c r="AD102" s="14">
        <v>0.23635125756263733</v>
      </c>
      <c r="AE102" s="14">
        <f t="shared" si="3"/>
        <v>0</v>
      </c>
      <c r="AF102" s="14">
        <f t="shared" si="2"/>
        <v>0.5</v>
      </c>
      <c r="AG102" s="14">
        <f t="shared" si="4"/>
        <v>0.5</v>
      </c>
      <c r="AH102" s="14">
        <f t="shared" si="5"/>
        <v>0</v>
      </c>
      <c r="AI102" s="6">
        <v>45939</v>
      </c>
      <c r="AJ102">
        <v>246406.60426570958</v>
      </c>
    </row>
    <row r="103" spans="1:36" ht="15.75" x14ac:dyDescent="0.25">
      <c r="A103">
        <v>6225</v>
      </c>
      <c r="B103">
        <v>1</v>
      </c>
      <c r="C103">
        <v>2</v>
      </c>
      <c r="D103">
        <v>6</v>
      </c>
      <c r="E103">
        <v>4</v>
      </c>
      <c r="F103">
        <v>4</v>
      </c>
      <c r="G103">
        <v>3</v>
      </c>
      <c r="H103">
        <v>15000</v>
      </c>
      <c r="I103">
        <v>3986.268</v>
      </c>
      <c r="J103">
        <v>4025</v>
      </c>
      <c r="K103">
        <v>0</v>
      </c>
      <c r="L103">
        <v>960</v>
      </c>
      <c r="M103">
        <v>32920</v>
      </c>
      <c r="N103" s="1">
        <f t="shared" si="1"/>
        <v>6172.5</v>
      </c>
      <c r="O103" t="s">
        <v>35</v>
      </c>
      <c r="P103">
        <v>2250</v>
      </c>
      <c r="Q103">
        <v>3750</v>
      </c>
      <c r="R103">
        <v>400</v>
      </c>
      <c r="S103">
        <v>1304.5</v>
      </c>
      <c r="T103" s="8"/>
      <c r="U103" s="7">
        <v>411500</v>
      </c>
      <c r="V103" s="9">
        <v>259080.86599999998</v>
      </c>
      <c r="W103" s="14">
        <v>1.6331007384921401</v>
      </c>
      <c r="X103" s="14">
        <v>0.69413186451935183</v>
      </c>
      <c r="Y103" s="14">
        <v>0.71966907222222221</v>
      </c>
      <c r="Z103" s="15">
        <v>46507</v>
      </c>
      <c r="AA103" s="10">
        <v>336817.01370000001</v>
      </c>
      <c r="AB103">
        <v>77736.147700000263</v>
      </c>
      <c r="AC103" s="10">
        <v>1.3420814792768887</v>
      </c>
      <c r="AD103" s="14">
        <v>0.16349871754646306</v>
      </c>
      <c r="AE103" s="14">
        <f t="shared" si="3"/>
        <v>0</v>
      </c>
      <c r="AF103" s="14">
        <f t="shared" ref="AF103:AF134" si="6">IF(E103&lt;&gt;"",0.5,0)</f>
        <v>0.5</v>
      </c>
      <c r="AG103" s="14">
        <f t="shared" si="4"/>
        <v>0.5</v>
      </c>
      <c r="AH103" s="14">
        <f t="shared" si="5"/>
        <v>0</v>
      </c>
      <c r="AI103" s="6">
        <v>45939</v>
      </c>
      <c r="AJ103">
        <v>264939.72585900361</v>
      </c>
    </row>
    <row r="104" spans="1:36" ht="15.75" x14ac:dyDescent="0.25">
      <c r="A104">
        <v>6226</v>
      </c>
      <c r="B104">
        <v>1</v>
      </c>
      <c r="C104">
        <v>2</v>
      </c>
      <c r="D104">
        <v>6</v>
      </c>
      <c r="E104" t="s">
        <v>35</v>
      </c>
      <c r="F104">
        <v>4</v>
      </c>
      <c r="G104">
        <v>3</v>
      </c>
      <c r="H104" t="s">
        <v>35</v>
      </c>
      <c r="I104">
        <v>5083.9359999999997</v>
      </c>
      <c r="J104">
        <v>5133.333333333333</v>
      </c>
      <c r="K104">
        <v>0</v>
      </c>
      <c r="L104">
        <v>480</v>
      </c>
      <c r="M104">
        <v>45000</v>
      </c>
      <c r="N104" s="1">
        <f t="shared" si="1"/>
        <v>8437.5</v>
      </c>
      <c r="O104">
        <v>4245</v>
      </c>
      <c r="P104">
        <v>2250</v>
      </c>
      <c r="Q104">
        <v>3750</v>
      </c>
      <c r="R104">
        <v>400</v>
      </c>
      <c r="S104">
        <v>1088.5</v>
      </c>
      <c r="T104" s="8"/>
      <c r="U104" s="7">
        <v>562500</v>
      </c>
      <c r="V104" s="9">
        <v>398217.91899999999</v>
      </c>
      <c r="W104" s="14">
        <v>1.2432478911006313</v>
      </c>
      <c r="X104" s="14">
        <v>0.61515746998199061</v>
      </c>
      <c r="Y104" s="14">
        <v>0.79643583799999995</v>
      </c>
      <c r="Z104" s="15">
        <v>46387</v>
      </c>
      <c r="AA104" s="10">
        <v>481352.27033333329</v>
      </c>
      <c r="AB104">
        <v>83134.351333332947</v>
      </c>
      <c r="AC104" s="10">
        <v>1.3032479291784507</v>
      </c>
      <c r="AD104" s="14">
        <v>0.14869313836097722</v>
      </c>
      <c r="AE104" s="14">
        <f t="shared" si="3"/>
        <v>0.5</v>
      </c>
      <c r="AF104" s="14">
        <f t="shared" si="6"/>
        <v>0</v>
      </c>
      <c r="AG104" s="14">
        <f t="shared" si="4"/>
        <v>0</v>
      </c>
      <c r="AH104" s="14">
        <f t="shared" si="5"/>
        <v>0.5</v>
      </c>
      <c r="AI104" s="6">
        <v>45939</v>
      </c>
      <c r="AJ104">
        <v>398472.74788495468</v>
      </c>
    </row>
    <row r="105" spans="1:36" ht="15.75" x14ac:dyDescent="0.25">
      <c r="A105">
        <v>6227</v>
      </c>
      <c r="B105">
        <v>1</v>
      </c>
      <c r="C105">
        <v>2</v>
      </c>
      <c r="D105">
        <v>6</v>
      </c>
      <c r="E105">
        <v>4</v>
      </c>
      <c r="F105">
        <v>4</v>
      </c>
      <c r="G105">
        <v>3</v>
      </c>
      <c r="H105">
        <v>5000</v>
      </c>
      <c r="I105">
        <v>680.60833333333335</v>
      </c>
      <c r="J105">
        <v>5741.6666666666661</v>
      </c>
      <c r="K105">
        <v>0</v>
      </c>
      <c r="L105">
        <v>1440</v>
      </c>
      <c r="M105">
        <v>24160</v>
      </c>
      <c r="N105" s="1">
        <f t="shared" si="1"/>
        <v>4530</v>
      </c>
      <c r="O105" t="s">
        <v>35</v>
      </c>
      <c r="P105">
        <v>1175</v>
      </c>
      <c r="Q105">
        <v>3750</v>
      </c>
      <c r="R105">
        <v>400</v>
      </c>
      <c r="S105">
        <v>1259.5</v>
      </c>
      <c r="T105" s="8"/>
      <c r="U105" s="7">
        <v>302000</v>
      </c>
      <c r="V105" s="9">
        <v>172851.55775043095</v>
      </c>
      <c r="W105" s="14">
        <v>1.7831310999651417</v>
      </c>
      <c r="X105" s="14">
        <v>0.71422208404543874</v>
      </c>
      <c r="Y105" s="14">
        <v>0.73553854361885507</v>
      </c>
      <c r="Z105" s="15">
        <v>46507</v>
      </c>
      <c r="AA105" s="10">
        <v>251164.33875</v>
      </c>
      <c r="AB105">
        <v>78312.78099956896</v>
      </c>
      <c r="AC105" s="10">
        <v>1.3449656199590558</v>
      </c>
      <c r="AD105" s="14">
        <v>0.24031957983970639</v>
      </c>
      <c r="AE105" s="14">
        <f t="shared" si="3"/>
        <v>0</v>
      </c>
      <c r="AF105" s="14">
        <f t="shared" si="6"/>
        <v>0.5</v>
      </c>
      <c r="AG105" s="14">
        <f t="shared" si="4"/>
        <v>0.5</v>
      </c>
      <c r="AH105" s="14">
        <f t="shared" si="5"/>
        <v>0</v>
      </c>
      <c r="AI105" s="6">
        <v>45939</v>
      </c>
      <c r="AJ105">
        <v>197590.37976069085</v>
      </c>
    </row>
    <row r="106" spans="1:36" ht="15.75" x14ac:dyDescent="0.25">
      <c r="A106">
        <v>6228</v>
      </c>
      <c r="B106">
        <v>1</v>
      </c>
      <c r="C106">
        <v>2</v>
      </c>
      <c r="D106">
        <v>6</v>
      </c>
      <c r="E106" t="s">
        <v>35</v>
      </c>
      <c r="F106">
        <v>4</v>
      </c>
      <c r="G106">
        <v>3</v>
      </c>
      <c r="H106" t="s">
        <v>35</v>
      </c>
      <c r="I106">
        <v>503.39333333333337</v>
      </c>
      <c r="J106">
        <v>4246.666666666667</v>
      </c>
      <c r="K106">
        <v>0</v>
      </c>
      <c r="L106">
        <v>720</v>
      </c>
      <c r="M106">
        <v>19760</v>
      </c>
      <c r="N106" s="1">
        <f t="shared" si="1"/>
        <v>3705</v>
      </c>
      <c r="O106">
        <v>1860</v>
      </c>
      <c r="P106">
        <v>1175</v>
      </c>
      <c r="Q106">
        <v>3750</v>
      </c>
      <c r="R106">
        <v>400</v>
      </c>
      <c r="S106">
        <v>1043.5</v>
      </c>
      <c r="T106" s="8"/>
      <c r="U106" s="7">
        <v>247000</v>
      </c>
      <c r="V106" s="9">
        <v>154373.02338408522</v>
      </c>
      <c r="W106" s="14">
        <v>1.454674343212228</v>
      </c>
      <c r="X106" s="14">
        <v>0.60458239724145235</v>
      </c>
      <c r="Y106" s="14">
        <v>0.85762790768936226</v>
      </c>
      <c r="Z106" s="15">
        <v>46387</v>
      </c>
      <c r="AA106" s="10">
        <v>207670.81875000001</v>
      </c>
      <c r="AB106">
        <v>53297.795365914819</v>
      </c>
      <c r="AC106" s="10">
        <v>1.3259292456538667</v>
      </c>
      <c r="AD106" s="14">
        <v>0.23810155987739565</v>
      </c>
      <c r="AE106" s="14">
        <f t="shared" si="3"/>
        <v>0.5</v>
      </c>
      <c r="AF106" s="14">
        <f t="shared" si="6"/>
        <v>0</v>
      </c>
      <c r="AG106" s="14">
        <f t="shared" si="4"/>
        <v>0</v>
      </c>
      <c r="AH106" s="14">
        <f t="shared" si="5"/>
        <v>0.5</v>
      </c>
      <c r="AI106" s="6">
        <v>45939</v>
      </c>
      <c r="AJ106">
        <v>171472.32137869645</v>
      </c>
    </row>
    <row r="107" spans="1:36" ht="15.75" x14ac:dyDescent="0.25">
      <c r="A107">
        <v>6229</v>
      </c>
      <c r="B107">
        <v>1</v>
      </c>
      <c r="C107">
        <v>2</v>
      </c>
      <c r="D107">
        <v>6</v>
      </c>
      <c r="E107" t="s">
        <v>35</v>
      </c>
      <c r="F107">
        <v>4</v>
      </c>
      <c r="G107">
        <v>3</v>
      </c>
      <c r="H107" t="s">
        <v>35</v>
      </c>
      <c r="I107">
        <v>1730.0293333333332</v>
      </c>
      <c r="J107">
        <v>14594.666666666666</v>
      </c>
      <c r="K107">
        <v>0</v>
      </c>
      <c r="L107">
        <v>720</v>
      </c>
      <c r="M107">
        <v>68000</v>
      </c>
      <c r="N107" s="1">
        <f t="shared" si="1"/>
        <v>12750</v>
      </c>
      <c r="O107">
        <v>6390</v>
      </c>
      <c r="P107">
        <v>1175</v>
      </c>
      <c r="Q107">
        <v>3750</v>
      </c>
      <c r="R107">
        <v>400</v>
      </c>
      <c r="S107">
        <v>1043.5</v>
      </c>
      <c r="T107" s="8"/>
      <c r="U107" s="7">
        <v>850000</v>
      </c>
      <c r="V107" s="9">
        <v>547260.91979137808</v>
      </c>
      <c r="W107" s="14">
        <v>1.1795145182599496</v>
      </c>
      <c r="X107" s="14">
        <v>0.50148672593769739</v>
      </c>
      <c r="Y107" s="14">
        <v>0.68407614973922259</v>
      </c>
      <c r="Z107" s="15">
        <v>46387</v>
      </c>
      <c r="AA107" s="10">
        <v>731982.09750000003</v>
      </c>
      <c r="AB107">
        <v>184721.17770862218</v>
      </c>
      <c r="AC107" s="10">
        <v>1.3010609014602501</v>
      </c>
      <c r="AD107" s="14">
        <v>0.23830146193504334</v>
      </c>
      <c r="AE107" s="14">
        <f t="shared" si="3"/>
        <v>0.5</v>
      </c>
      <c r="AF107" s="14">
        <f t="shared" si="6"/>
        <v>0</v>
      </c>
      <c r="AG107" s="14">
        <f t="shared" si="4"/>
        <v>0</v>
      </c>
      <c r="AH107" s="14">
        <f t="shared" si="5"/>
        <v>0.5</v>
      </c>
      <c r="AI107" s="6">
        <v>45939</v>
      </c>
      <c r="AJ107">
        <v>606621.24123039749</v>
      </c>
    </row>
    <row r="108" spans="1:36" ht="15.75" x14ac:dyDescent="0.25">
      <c r="A108">
        <v>6230</v>
      </c>
      <c r="B108">
        <v>1</v>
      </c>
      <c r="C108">
        <v>2</v>
      </c>
      <c r="D108">
        <v>4</v>
      </c>
      <c r="E108" t="s">
        <v>35</v>
      </c>
      <c r="F108">
        <v>4</v>
      </c>
      <c r="G108">
        <v>3</v>
      </c>
      <c r="H108" t="s">
        <v>35</v>
      </c>
      <c r="I108">
        <v>9625</v>
      </c>
      <c r="J108">
        <v>3850</v>
      </c>
      <c r="K108">
        <v>0</v>
      </c>
      <c r="L108">
        <v>800</v>
      </c>
      <c r="M108">
        <v>85960</v>
      </c>
      <c r="N108" s="1">
        <f t="shared" si="1"/>
        <v>16117.5</v>
      </c>
      <c r="O108">
        <v>8025</v>
      </c>
      <c r="P108">
        <v>1250</v>
      </c>
      <c r="Q108">
        <v>3750</v>
      </c>
      <c r="R108">
        <v>400</v>
      </c>
      <c r="S108">
        <v>908.5</v>
      </c>
      <c r="T108" s="8"/>
      <c r="U108" s="7">
        <v>1074500</v>
      </c>
      <c r="V108" s="9">
        <v>725940.57234660513</v>
      </c>
      <c r="W108" s="14">
        <v>1.5843938579645851</v>
      </c>
      <c r="X108" s="14">
        <v>0.59609265925747013</v>
      </c>
      <c r="Y108" s="14">
        <v>1.008390849210453</v>
      </c>
      <c r="Z108" s="15">
        <v>46326</v>
      </c>
      <c r="AA108" s="10">
        <v>933516.5</v>
      </c>
      <c r="AB108">
        <v>207575.92765339522</v>
      </c>
      <c r="AC108" s="10">
        <v>1.3198945028250026</v>
      </c>
      <c r="AD108" s="14">
        <v>0.23672960400581355</v>
      </c>
      <c r="AE108" s="14">
        <f t="shared" si="3"/>
        <v>0.5</v>
      </c>
      <c r="AF108" s="14">
        <f t="shared" si="6"/>
        <v>0</v>
      </c>
      <c r="AG108" s="14">
        <f t="shared" si="4"/>
        <v>0</v>
      </c>
      <c r="AH108" s="14">
        <f t="shared" si="5"/>
        <v>0.5</v>
      </c>
      <c r="AI108" s="6">
        <v>45939</v>
      </c>
      <c r="AJ108">
        <v>792703.80873902026</v>
      </c>
    </row>
    <row r="109" spans="1:36" ht="15.75" x14ac:dyDescent="0.25">
      <c r="A109">
        <v>6231</v>
      </c>
      <c r="B109">
        <v>1</v>
      </c>
      <c r="C109">
        <v>2</v>
      </c>
      <c r="D109">
        <v>5</v>
      </c>
      <c r="E109">
        <v>4</v>
      </c>
      <c r="F109">
        <v>4</v>
      </c>
      <c r="G109">
        <v>3</v>
      </c>
      <c r="H109">
        <v>100000</v>
      </c>
      <c r="I109">
        <v>612.75</v>
      </c>
      <c r="J109">
        <v>12112.500000000002</v>
      </c>
      <c r="K109">
        <v>1140</v>
      </c>
      <c r="L109">
        <v>1440</v>
      </c>
      <c r="M109">
        <v>45320</v>
      </c>
      <c r="N109" s="1">
        <f t="shared" si="1"/>
        <v>8497.5</v>
      </c>
      <c r="O109" t="s">
        <v>35</v>
      </c>
      <c r="P109">
        <v>4000</v>
      </c>
      <c r="Q109">
        <v>3750</v>
      </c>
      <c r="R109">
        <v>400</v>
      </c>
      <c r="S109">
        <v>1214.5</v>
      </c>
      <c r="T109" s="8"/>
      <c r="U109" s="7">
        <v>566500</v>
      </c>
      <c r="V109" s="9">
        <v>298650</v>
      </c>
      <c r="W109" s="14">
        <v>0.82349684527499345</v>
      </c>
      <c r="X109" s="14">
        <v>0.34105559796656176</v>
      </c>
      <c r="Y109" s="14">
        <v>1.1946000000000001</v>
      </c>
      <c r="Z109" s="15">
        <v>46477</v>
      </c>
      <c r="AA109" s="10">
        <v>382712.625</v>
      </c>
      <c r="AB109">
        <v>84062.625000000116</v>
      </c>
      <c r="AC109" s="10">
        <v>1.2627622422968408</v>
      </c>
      <c r="AD109" s="14">
        <v>0.15452767014503485</v>
      </c>
      <c r="AE109" s="14">
        <f t="shared" si="3"/>
        <v>0</v>
      </c>
      <c r="AF109" s="14">
        <f t="shared" si="6"/>
        <v>0.5</v>
      </c>
      <c r="AG109" s="14">
        <f t="shared" si="4"/>
        <v>0.5</v>
      </c>
      <c r="AH109" s="14">
        <f t="shared" si="5"/>
        <v>0</v>
      </c>
      <c r="AI109" s="6">
        <v>45939</v>
      </c>
      <c r="AJ109">
        <v>301346.96623345796</v>
      </c>
    </row>
    <row r="110" spans="1:36" ht="15.75" x14ac:dyDescent="0.25">
      <c r="A110">
        <v>6232</v>
      </c>
      <c r="B110">
        <v>1</v>
      </c>
      <c r="C110">
        <v>2</v>
      </c>
      <c r="D110">
        <v>5</v>
      </c>
      <c r="E110">
        <v>4</v>
      </c>
      <c r="F110">
        <v>4</v>
      </c>
      <c r="G110">
        <v>3</v>
      </c>
      <c r="H110">
        <v>200000</v>
      </c>
      <c r="I110">
        <v>476.58333333333331</v>
      </c>
      <c r="J110">
        <v>9420.8333333333321</v>
      </c>
      <c r="K110">
        <v>0</v>
      </c>
      <c r="L110">
        <v>1440</v>
      </c>
      <c r="M110">
        <v>54160</v>
      </c>
      <c r="N110" s="1">
        <f t="shared" si="1"/>
        <v>10155</v>
      </c>
      <c r="O110" t="s">
        <v>35</v>
      </c>
      <c r="P110">
        <v>4000</v>
      </c>
      <c r="Q110">
        <v>3750</v>
      </c>
      <c r="R110">
        <v>400</v>
      </c>
      <c r="S110">
        <v>1214.5</v>
      </c>
      <c r="T110" s="8"/>
      <c r="U110" s="7">
        <v>677000</v>
      </c>
      <c r="V110" s="9">
        <v>298649.99999999988</v>
      </c>
      <c r="W110" s="14">
        <v>0.6772201135893029</v>
      </c>
      <c r="X110" s="14">
        <v>0.29016687563572063</v>
      </c>
      <c r="Y110" s="14">
        <v>1.0021812080536909</v>
      </c>
      <c r="Z110" s="15">
        <v>46477</v>
      </c>
      <c r="AA110" s="10">
        <v>385473.54166666663</v>
      </c>
      <c r="AB110">
        <v>86823.541666667094</v>
      </c>
      <c r="AC110" s="10">
        <v>1.1955581584436865</v>
      </c>
      <c r="AD110" s="14">
        <v>0.15268629193305971</v>
      </c>
      <c r="AE110" s="14">
        <f t="shared" si="3"/>
        <v>0</v>
      </c>
      <c r="AF110" s="14">
        <f t="shared" si="6"/>
        <v>0.5</v>
      </c>
      <c r="AG110" s="14">
        <f t="shared" si="4"/>
        <v>0.5</v>
      </c>
      <c r="AH110" s="14">
        <f t="shared" si="5"/>
        <v>0</v>
      </c>
      <c r="AI110" s="6">
        <v>45939</v>
      </c>
      <c r="AJ110">
        <v>300575.98781753023</v>
      </c>
    </row>
    <row r="111" spans="1:36" ht="15.75" x14ac:dyDescent="0.25">
      <c r="A111">
        <v>6233</v>
      </c>
      <c r="B111">
        <v>1</v>
      </c>
      <c r="C111">
        <v>2</v>
      </c>
      <c r="D111">
        <v>5</v>
      </c>
      <c r="E111" t="s">
        <v>35</v>
      </c>
      <c r="F111">
        <v>4</v>
      </c>
      <c r="G111">
        <v>3</v>
      </c>
      <c r="H111" t="s">
        <v>35</v>
      </c>
      <c r="I111">
        <v>322.5</v>
      </c>
      <c r="J111">
        <v>6375</v>
      </c>
      <c r="K111">
        <v>0</v>
      </c>
      <c r="L111">
        <v>720</v>
      </c>
      <c r="M111">
        <v>24040</v>
      </c>
      <c r="N111" s="1">
        <f t="shared" si="1"/>
        <v>4507.5</v>
      </c>
      <c r="O111">
        <v>2257.5</v>
      </c>
      <c r="P111">
        <v>4000</v>
      </c>
      <c r="Q111">
        <v>3750</v>
      </c>
      <c r="R111">
        <v>400</v>
      </c>
      <c r="S111">
        <v>998.5</v>
      </c>
      <c r="T111" s="8"/>
      <c r="U111" s="7">
        <v>300500</v>
      </c>
      <c r="V111" s="9">
        <v>189425.55972465346</v>
      </c>
      <c r="W111" s="14">
        <v>1.1591634913788198</v>
      </c>
      <c r="X111" s="14">
        <v>0.48236649698260742</v>
      </c>
      <c r="Y111" s="14">
        <v>0.75770223889861388</v>
      </c>
      <c r="Z111" s="15">
        <v>46356</v>
      </c>
      <c r="AA111" s="10">
        <v>250351</v>
      </c>
      <c r="AB111">
        <v>60925.440275346686</v>
      </c>
      <c r="AC111" s="10">
        <v>1.2458529047301796</v>
      </c>
      <c r="AD111" s="14">
        <v>0.23721480965614319</v>
      </c>
      <c r="AE111" s="14">
        <f t="shared" si="3"/>
        <v>0.5</v>
      </c>
      <c r="AF111" s="14">
        <f t="shared" si="6"/>
        <v>0</v>
      </c>
      <c r="AG111" s="14">
        <f t="shared" si="4"/>
        <v>0</v>
      </c>
      <c r="AH111" s="14">
        <f t="shared" si="5"/>
        <v>0.5</v>
      </c>
      <c r="AI111" s="6">
        <v>45939</v>
      </c>
      <c r="AJ111">
        <v>208923.94111293365</v>
      </c>
    </row>
    <row r="112" spans="1:36" ht="15.75" x14ac:dyDescent="0.25">
      <c r="A112">
        <v>6234</v>
      </c>
      <c r="B112">
        <v>1</v>
      </c>
      <c r="C112">
        <v>2</v>
      </c>
      <c r="D112">
        <v>5</v>
      </c>
      <c r="E112" t="s">
        <v>35</v>
      </c>
      <c r="F112">
        <v>4</v>
      </c>
      <c r="G112">
        <v>3</v>
      </c>
      <c r="H112" t="s">
        <v>35</v>
      </c>
      <c r="I112">
        <v>376.25</v>
      </c>
      <c r="J112">
        <v>7437.5</v>
      </c>
      <c r="K112">
        <v>0</v>
      </c>
      <c r="L112">
        <v>720</v>
      </c>
      <c r="M112">
        <v>28040</v>
      </c>
      <c r="N112" s="1">
        <f t="shared" si="1"/>
        <v>5257.5</v>
      </c>
      <c r="O112">
        <v>2632.5</v>
      </c>
      <c r="P112">
        <v>4000</v>
      </c>
      <c r="Q112">
        <v>3750</v>
      </c>
      <c r="R112">
        <v>400</v>
      </c>
      <c r="S112">
        <v>998.5</v>
      </c>
      <c r="T112" s="8"/>
      <c r="U112" s="7">
        <v>350500</v>
      </c>
      <c r="V112" s="9">
        <v>200095.50000000003</v>
      </c>
      <c r="W112" s="14">
        <v>0.72706254132059123</v>
      </c>
      <c r="X112" s="14">
        <v>0.30491993203104151</v>
      </c>
      <c r="Y112" s="14">
        <v>1.053134210526316</v>
      </c>
      <c r="Z112" s="15">
        <v>46356</v>
      </c>
      <c r="AA112" s="10">
        <v>293646.95833333337</v>
      </c>
      <c r="AB112">
        <v>93551.458333333227</v>
      </c>
      <c r="AC112" s="10">
        <v>1.4740793642557735</v>
      </c>
      <c r="AD112" s="14">
        <v>0.34138485789299022</v>
      </c>
      <c r="AE112" s="14">
        <f t="shared" si="3"/>
        <v>0.5</v>
      </c>
      <c r="AF112" s="14">
        <f t="shared" si="6"/>
        <v>0</v>
      </c>
      <c r="AG112" s="14">
        <f t="shared" si="4"/>
        <v>0</v>
      </c>
      <c r="AH112" s="14">
        <f t="shared" si="5"/>
        <v>0.5</v>
      </c>
      <c r="AI112" s="6">
        <v>45939</v>
      </c>
      <c r="AJ112">
        <v>245265.26317649538</v>
      </c>
    </row>
    <row r="113" spans="1:36" ht="15.75" x14ac:dyDescent="0.25">
      <c r="A113">
        <v>6235</v>
      </c>
      <c r="B113">
        <v>1</v>
      </c>
      <c r="C113">
        <v>2</v>
      </c>
      <c r="D113">
        <v>5</v>
      </c>
      <c r="E113" t="s">
        <v>35</v>
      </c>
      <c r="F113">
        <v>4</v>
      </c>
      <c r="G113">
        <v>3</v>
      </c>
      <c r="H113" t="s">
        <v>35</v>
      </c>
      <c r="I113">
        <v>241.875</v>
      </c>
      <c r="J113">
        <v>4781.2500000000009</v>
      </c>
      <c r="K113">
        <v>3750</v>
      </c>
      <c r="L113">
        <v>720</v>
      </c>
      <c r="M113">
        <v>18000</v>
      </c>
      <c r="N113" s="1">
        <f t="shared" si="1"/>
        <v>3375</v>
      </c>
      <c r="O113">
        <v>1687.5</v>
      </c>
      <c r="P113">
        <v>4000</v>
      </c>
      <c r="Q113">
        <v>3750</v>
      </c>
      <c r="R113">
        <v>400</v>
      </c>
      <c r="S113">
        <v>998.5</v>
      </c>
      <c r="T113" s="8"/>
      <c r="U113" s="7">
        <v>225000</v>
      </c>
      <c r="V113" s="9">
        <v>136382.55481552921</v>
      </c>
      <c r="W113" s="14">
        <v>0.9566952670182659</v>
      </c>
      <c r="X113" s="14">
        <v>0.44181373748543173</v>
      </c>
      <c r="Y113" s="14">
        <v>0.68191277407764606</v>
      </c>
      <c r="Z113" s="15">
        <v>46356</v>
      </c>
      <c r="AA113" s="10">
        <v>181338.3125</v>
      </c>
      <c r="AB113">
        <v>44955.757684470795</v>
      </c>
      <c r="AC113" s="10">
        <v>1.7258781342916054</v>
      </c>
      <c r="AD113" s="14">
        <v>0.23686953186988827</v>
      </c>
      <c r="AE113" s="14">
        <f t="shared" si="3"/>
        <v>0.5</v>
      </c>
      <c r="AF113" s="14">
        <f t="shared" si="6"/>
        <v>0</v>
      </c>
      <c r="AG113" s="14">
        <f t="shared" si="4"/>
        <v>0</v>
      </c>
      <c r="AH113" s="14">
        <f t="shared" si="5"/>
        <v>0.5</v>
      </c>
      <c r="AI113" s="6">
        <v>45939</v>
      </c>
      <c r="AJ113">
        <v>150728.78295915603</v>
      </c>
    </row>
    <row r="114" spans="1:36" ht="15.75" x14ac:dyDescent="0.25">
      <c r="A114">
        <v>6236</v>
      </c>
      <c r="B114">
        <v>1</v>
      </c>
      <c r="C114">
        <v>2</v>
      </c>
      <c r="D114">
        <v>6</v>
      </c>
      <c r="E114" t="s">
        <v>35</v>
      </c>
      <c r="F114">
        <v>4</v>
      </c>
      <c r="G114">
        <v>3</v>
      </c>
      <c r="H114" t="s">
        <v>35</v>
      </c>
      <c r="I114">
        <v>4620</v>
      </c>
      <c r="J114">
        <v>2200</v>
      </c>
      <c r="K114">
        <v>1152</v>
      </c>
      <c r="L114">
        <v>1000</v>
      </c>
      <c r="M114">
        <v>26880</v>
      </c>
      <c r="N114" s="1">
        <f t="shared" si="1"/>
        <v>5040</v>
      </c>
      <c r="O114">
        <v>2535</v>
      </c>
      <c r="P114">
        <v>1500</v>
      </c>
      <c r="Q114">
        <v>3750</v>
      </c>
      <c r="R114">
        <v>400</v>
      </c>
      <c r="S114">
        <v>1088.5</v>
      </c>
      <c r="T114" s="8"/>
      <c r="U114" s="7">
        <v>336000</v>
      </c>
      <c r="V114" s="9">
        <v>231055.55</v>
      </c>
      <c r="W114" s="14">
        <v>1.4139522556418123</v>
      </c>
      <c r="X114" s="14">
        <v>0.50672753742626442</v>
      </c>
      <c r="Y114" s="14">
        <v>0.73350968253968252</v>
      </c>
      <c r="Z114" s="15">
        <v>46234</v>
      </c>
      <c r="AA114" s="10">
        <v>282738.625</v>
      </c>
      <c r="AB114">
        <v>51683.075000000012</v>
      </c>
      <c r="AC114" s="10">
        <v>1.2014521852642412</v>
      </c>
      <c r="AD114" s="14">
        <v>0.23774314522743226</v>
      </c>
      <c r="AE114" s="14">
        <f t="shared" si="3"/>
        <v>0.5</v>
      </c>
      <c r="AF114" s="14">
        <f t="shared" si="6"/>
        <v>0</v>
      </c>
      <c r="AG114" s="14">
        <f t="shared" si="4"/>
        <v>0</v>
      </c>
      <c r="AH114" s="14">
        <f t="shared" si="5"/>
        <v>0.5</v>
      </c>
      <c r="AI114" s="6">
        <v>45939</v>
      </c>
      <c r="AJ114">
        <v>248032.56564957841</v>
      </c>
    </row>
    <row r="115" spans="1:36" ht="15.75" x14ac:dyDescent="0.25">
      <c r="A115">
        <v>6237</v>
      </c>
      <c r="B115">
        <v>1</v>
      </c>
      <c r="C115">
        <v>2</v>
      </c>
      <c r="D115">
        <v>6</v>
      </c>
      <c r="E115" t="s">
        <v>35</v>
      </c>
      <c r="F115">
        <v>4</v>
      </c>
      <c r="G115">
        <v>3</v>
      </c>
      <c r="H115" t="s">
        <v>35</v>
      </c>
      <c r="I115">
        <v>3290</v>
      </c>
      <c r="J115">
        <v>1566.6666666666667</v>
      </c>
      <c r="K115">
        <v>0</v>
      </c>
      <c r="L115">
        <v>1000</v>
      </c>
      <c r="M115">
        <v>19120</v>
      </c>
      <c r="N115" s="1">
        <f t="shared" si="1"/>
        <v>3585</v>
      </c>
      <c r="O115">
        <v>1800</v>
      </c>
      <c r="P115">
        <v>1500</v>
      </c>
      <c r="Q115">
        <v>3750</v>
      </c>
      <c r="R115">
        <v>400</v>
      </c>
      <c r="S115">
        <v>1088.5</v>
      </c>
      <c r="T115" s="8"/>
      <c r="U115" s="7">
        <v>239000</v>
      </c>
      <c r="V115" s="9">
        <v>169414.19</v>
      </c>
      <c r="W115" s="14">
        <v>0.87850049104271599</v>
      </c>
      <c r="X115" s="14">
        <v>0.46279934859481681</v>
      </c>
      <c r="Y115" s="14">
        <v>0.75295195555555561</v>
      </c>
      <c r="Z115" s="15">
        <v>46326</v>
      </c>
      <c r="AA115" s="10">
        <v>199669.10416666666</v>
      </c>
      <c r="AB115">
        <v>30254.914166666684</v>
      </c>
      <c r="AC115" s="10">
        <v>1.3070268682175883</v>
      </c>
      <c r="AD115" s="14">
        <v>0.14465788006782532</v>
      </c>
      <c r="AE115" s="14">
        <f t="shared" si="3"/>
        <v>0.5</v>
      </c>
      <c r="AF115" s="14">
        <f t="shared" si="6"/>
        <v>0</v>
      </c>
      <c r="AG115" s="14">
        <f t="shared" si="4"/>
        <v>0</v>
      </c>
      <c r="AH115" s="14">
        <f t="shared" si="5"/>
        <v>0.5</v>
      </c>
      <c r="AI115" s="6">
        <v>45939</v>
      </c>
      <c r="AJ115">
        <v>168777.05303642119</v>
      </c>
    </row>
    <row r="116" spans="1:36" ht="15.75" x14ac:dyDescent="0.25">
      <c r="A116">
        <v>6238</v>
      </c>
      <c r="B116">
        <v>1</v>
      </c>
      <c r="C116">
        <v>2</v>
      </c>
      <c r="D116">
        <v>6</v>
      </c>
      <c r="E116">
        <v>4</v>
      </c>
      <c r="F116">
        <v>4</v>
      </c>
      <c r="G116">
        <v>3</v>
      </c>
      <c r="H116">
        <v>150000</v>
      </c>
      <c r="I116">
        <v>7437.5</v>
      </c>
      <c r="J116">
        <v>3541.666666666667</v>
      </c>
      <c r="K116">
        <v>28940</v>
      </c>
      <c r="L116">
        <v>2000</v>
      </c>
      <c r="M116">
        <v>56560</v>
      </c>
      <c r="N116" s="1">
        <f t="shared" si="1"/>
        <v>10605</v>
      </c>
      <c r="O116" t="s">
        <v>35</v>
      </c>
      <c r="P116">
        <v>1500</v>
      </c>
      <c r="Q116">
        <v>3750</v>
      </c>
      <c r="R116">
        <v>400</v>
      </c>
      <c r="S116">
        <v>1304.5</v>
      </c>
      <c r="T116" s="8"/>
      <c r="U116" s="7">
        <v>707000</v>
      </c>
      <c r="V116" s="9">
        <v>309618.41899999999</v>
      </c>
      <c r="W116" s="14">
        <v>0.982036988937802</v>
      </c>
      <c r="X116" s="14">
        <v>0.3989876406884163</v>
      </c>
      <c r="Y116" s="14">
        <v>0.80004759431524541</v>
      </c>
      <c r="Z116" s="15">
        <v>46507</v>
      </c>
      <c r="AA116" s="10">
        <v>434889.3125</v>
      </c>
      <c r="AB116">
        <v>125270.89350000018</v>
      </c>
      <c r="AC116" s="10">
        <v>1.2385599123546331</v>
      </c>
      <c r="AD116" s="14">
        <v>0.1986429035663605</v>
      </c>
      <c r="AE116" s="14">
        <f t="shared" si="3"/>
        <v>0</v>
      </c>
      <c r="AF116" s="14">
        <f t="shared" si="6"/>
        <v>0.5</v>
      </c>
      <c r="AG116" s="14">
        <f t="shared" si="4"/>
        <v>0.5</v>
      </c>
      <c r="AH116" s="14">
        <f t="shared" si="5"/>
        <v>0</v>
      </c>
      <c r="AI116" s="6">
        <v>45939</v>
      </c>
      <c r="AJ116">
        <v>335561.41438504559</v>
      </c>
    </row>
    <row r="117" spans="1:36" ht="15.75" x14ac:dyDescent="0.25">
      <c r="A117">
        <v>6239</v>
      </c>
      <c r="B117">
        <v>1</v>
      </c>
      <c r="C117">
        <v>2</v>
      </c>
      <c r="D117">
        <v>6</v>
      </c>
      <c r="E117" t="s">
        <v>35</v>
      </c>
      <c r="F117">
        <v>4</v>
      </c>
      <c r="G117">
        <v>3</v>
      </c>
      <c r="H117" t="s">
        <v>35</v>
      </c>
      <c r="I117">
        <v>3710</v>
      </c>
      <c r="J117">
        <v>1766.6666666666667</v>
      </c>
      <c r="K117">
        <v>0</v>
      </c>
      <c r="L117">
        <v>1000</v>
      </c>
      <c r="M117">
        <v>21560</v>
      </c>
      <c r="N117" s="1">
        <f t="shared" si="1"/>
        <v>4042.5</v>
      </c>
      <c r="O117">
        <v>2032.5</v>
      </c>
      <c r="P117">
        <v>1500</v>
      </c>
      <c r="Q117">
        <v>3750</v>
      </c>
      <c r="R117">
        <v>400</v>
      </c>
      <c r="S117">
        <v>1088.5</v>
      </c>
      <c r="T117" s="8"/>
      <c r="U117" s="7">
        <v>269500</v>
      </c>
      <c r="V117" s="9">
        <v>134393.49549999999</v>
      </c>
      <c r="W117" s="14">
        <v>1.0268255534544342</v>
      </c>
      <c r="X117" s="14">
        <v>0.37619265842410304</v>
      </c>
      <c r="Y117" s="14">
        <v>0.45098488422818789</v>
      </c>
      <c r="Z117" s="15">
        <v>46387</v>
      </c>
      <c r="AA117" s="10">
        <v>226137.22916666669</v>
      </c>
      <c r="AB117">
        <v>91743.733666666551</v>
      </c>
      <c r="AC117" s="10">
        <v>1.2970382618881107</v>
      </c>
      <c r="AD117" s="14">
        <v>0.45232908129692073</v>
      </c>
      <c r="AE117" s="14">
        <f t="shared" si="3"/>
        <v>0.5</v>
      </c>
      <c r="AF117" s="14">
        <f t="shared" si="6"/>
        <v>0</v>
      </c>
      <c r="AG117" s="14">
        <f t="shared" si="4"/>
        <v>0</v>
      </c>
      <c r="AH117" s="14">
        <f t="shared" si="5"/>
        <v>0.5</v>
      </c>
      <c r="AI117" s="6">
        <v>45939</v>
      </c>
      <c r="AJ117">
        <v>186707.53668818</v>
      </c>
    </row>
    <row r="118" spans="1:36" ht="15.75" x14ac:dyDescent="0.25">
      <c r="A118">
        <v>6240</v>
      </c>
      <c r="B118">
        <v>1</v>
      </c>
      <c r="C118">
        <v>2</v>
      </c>
      <c r="D118">
        <v>6</v>
      </c>
      <c r="E118" t="s">
        <v>35</v>
      </c>
      <c r="F118">
        <v>4</v>
      </c>
      <c r="G118">
        <v>3</v>
      </c>
      <c r="H118" t="s">
        <v>35</v>
      </c>
      <c r="I118">
        <v>3150</v>
      </c>
      <c r="J118">
        <v>1500</v>
      </c>
      <c r="K118">
        <v>0</v>
      </c>
      <c r="L118">
        <v>1000</v>
      </c>
      <c r="M118">
        <v>18320</v>
      </c>
      <c r="N118" s="1">
        <f t="shared" si="1"/>
        <v>3435</v>
      </c>
      <c r="O118">
        <v>1725</v>
      </c>
      <c r="P118">
        <v>1500</v>
      </c>
      <c r="Q118">
        <v>3750</v>
      </c>
      <c r="R118">
        <v>400</v>
      </c>
      <c r="S118">
        <v>1088.5</v>
      </c>
      <c r="T118" s="8"/>
      <c r="U118" s="7">
        <v>229000</v>
      </c>
      <c r="V118" s="9">
        <v>141761.55810553653</v>
      </c>
      <c r="W118" s="14">
        <v>0.90400278356294428</v>
      </c>
      <c r="X118" s="14">
        <v>0.3803546056852905</v>
      </c>
      <c r="Y118" s="14">
        <v>0.69151979563676358</v>
      </c>
      <c r="Z118" s="15">
        <v>46387</v>
      </c>
      <c r="AA118" s="10">
        <v>190994.3125</v>
      </c>
      <c r="AB118">
        <v>49232.754394463467</v>
      </c>
      <c r="AC118" s="10">
        <v>1.2977294137674333</v>
      </c>
      <c r="AD118" s="14">
        <v>0.23802145123481752</v>
      </c>
      <c r="AE118" s="14">
        <f t="shared" si="3"/>
        <v>0.5</v>
      </c>
      <c r="AF118" s="14">
        <f t="shared" si="6"/>
        <v>0</v>
      </c>
      <c r="AG118" s="14">
        <f t="shared" si="4"/>
        <v>0</v>
      </c>
      <c r="AH118" s="14">
        <f t="shared" si="5"/>
        <v>0.5</v>
      </c>
      <c r="AI118" s="6">
        <v>45939</v>
      </c>
      <c r="AJ118">
        <v>157546.51004397744</v>
      </c>
    </row>
    <row r="119" spans="1:36" ht="15.75" x14ac:dyDescent="0.25">
      <c r="A119">
        <v>6241</v>
      </c>
      <c r="B119">
        <v>1</v>
      </c>
      <c r="C119">
        <v>2</v>
      </c>
      <c r="D119">
        <v>6</v>
      </c>
      <c r="E119" t="s">
        <v>35</v>
      </c>
      <c r="F119">
        <v>4</v>
      </c>
      <c r="G119">
        <v>3</v>
      </c>
      <c r="H119" t="s">
        <v>35</v>
      </c>
      <c r="I119">
        <v>6300</v>
      </c>
      <c r="J119">
        <v>3000</v>
      </c>
      <c r="K119">
        <v>0</v>
      </c>
      <c r="L119">
        <v>1000</v>
      </c>
      <c r="M119">
        <v>36680</v>
      </c>
      <c r="N119" s="1">
        <f t="shared" si="1"/>
        <v>6877.5</v>
      </c>
      <c r="O119">
        <v>3457.5</v>
      </c>
      <c r="P119">
        <v>1500</v>
      </c>
      <c r="Q119">
        <v>3750</v>
      </c>
      <c r="R119">
        <v>400</v>
      </c>
      <c r="S119">
        <v>1088.5</v>
      </c>
      <c r="T119" s="8"/>
      <c r="U119" s="7">
        <v>458500</v>
      </c>
      <c r="V119" s="9">
        <v>348442.91899999999</v>
      </c>
      <c r="W119" s="14">
        <v>1.3806111383844639</v>
      </c>
      <c r="X119" s="14">
        <v>0.52761317907444671</v>
      </c>
      <c r="Y119" s="14">
        <v>0.72592274791666667</v>
      </c>
      <c r="Z119" s="15">
        <v>46234</v>
      </c>
      <c r="AA119" s="10">
        <v>390170.875</v>
      </c>
      <c r="AB119">
        <v>41727.955999999947</v>
      </c>
      <c r="AC119" s="10">
        <v>1.2408171780124708</v>
      </c>
      <c r="AD119" s="14">
        <v>0.12806019186973569</v>
      </c>
      <c r="AE119" s="14">
        <f t="shared" si="3"/>
        <v>0.5</v>
      </c>
      <c r="AF119" s="14">
        <f t="shared" si="6"/>
        <v>0</v>
      </c>
      <c r="AG119" s="14">
        <f t="shared" si="4"/>
        <v>0</v>
      </c>
      <c r="AH119" s="14">
        <f t="shared" si="5"/>
        <v>0.5</v>
      </c>
      <c r="AI119" s="6">
        <v>45939</v>
      </c>
      <c r="AJ119">
        <v>342599.2634843674</v>
      </c>
    </row>
    <row r="120" spans="1:36" ht="15.75" x14ac:dyDescent="0.25">
      <c r="A120">
        <v>6242</v>
      </c>
      <c r="B120">
        <v>1</v>
      </c>
      <c r="C120">
        <v>2</v>
      </c>
      <c r="D120">
        <v>6</v>
      </c>
      <c r="E120" t="s">
        <v>35</v>
      </c>
      <c r="F120">
        <v>4</v>
      </c>
      <c r="G120">
        <v>3</v>
      </c>
      <c r="H120" t="s">
        <v>35</v>
      </c>
      <c r="I120">
        <v>6790</v>
      </c>
      <c r="J120">
        <v>3233.3333333333335</v>
      </c>
      <c r="K120">
        <v>0</v>
      </c>
      <c r="L120">
        <v>1000</v>
      </c>
      <c r="M120">
        <v>39520</v>
      </c>
      <c r="N120" s="1">
        <f t="shared" si="1"/>
        <v>7410</v>
      </c>
      <c r="O120">
        <v>3727.5</v>
      </c>
      <c r="P120">
        <v>1500</v>
      </c>
      <c r="Q120">
        <v>3750</v>
      </c>
      <c r="R120">
        <v>400</v>
      </c>
      <c r="S120">
        <v>1088.5</v>
      </c>
      <c r="T120" s="8"/>
      <c r="U120" s="7">
        <v>494000</v>
      </c>
      <c r="V120" s="9">
        <v>368434.55</v>
      </c>
      <c r="W120" s="14">
        <v>1.4099402102114031</v>
      </c>
      <c r="X120" s="14">
        <v>0.55773561862793075</v>
      </c>
      <c r="Y120" s="14">
        <v>0.70581331417624515</v>
      </c>
      <c r="Z120" s="15">
        <v>46234</v>
      </c>
      <c r="AA120" s="10">
        <v>420976.39583333337</v>
      </c>
      <c r="AB120">
        <v>52541.845833333442</v>
      </c>
      <c r="AC120" s="10">
        <v>1.2425943225347975</v>
      </c>
      <c r="AD120" s="14">
        <v>0.152740341424942</v>
      </c>
      <c r="AE120" s="14">
        <f t="shared" si="3"/>
        <v>0.5</v>
      </c>
      <c r="AF120" s="14">
        <f t="shared" si="6"/>
        <v>0</v>
      </c>
      <c r="AG120" s="14">
        <f t="shared" si="4"/>
        <v>0</v>
      </c>
      <c r="AH120" s="14">
        <f t="shared" si="5"/>
        <v>0.5</v>
      </c>
      <c r="AI120" s="6">
        <v>45939</v>
      </c>
      <c r="AJ120">
        <v>369698.09880704404</v>
      </c>
    </row>
    <row r="121" spans="1:36" ht="15.75" x14ac:dyDescent="0.25">
      <c r="A121">
        <v>6243</v>
      </c>
      <c r="B121">
        <v>1</v>
      </c>
      <c r="C121">
        <v>2</v>
      </c>
      <c r="D121">
        <v>6</v>
      </c>
      <c r="E121" t="s">
        <v>35</v>
      </c>
      <c r="F121">
        <v>4</v>
      </c>
      <c r="G121">
        <v>3</v>
      </c>
      <c r="H121" t="s">
        <v>35</v>
      </c>
      <c r="I121">
        <v>4970.0000000000009</v>
      </c>
      <c r="J121">
        <v>2366.6666666666665</v>
      </c>
      <c r="K121">
        <v>0</v>
      </c>
      <c r="L121">
        <v>1000</v>
      </c>
      <c r="M121">
        <v>28920</v>
      </c>
      <c r="N121" s="1">
        <f t="shared" si="1"/>
        <v>5422.5</v>
      </c>
      <c r="O121">
        <v>2730</v>
      </c>
      <c r="P121">
        <v>1500</v>
      </c>
      <c r="Q121">
        <v>3750</v>
      </c>
      <c r="R121">
        <v>400</v>
      </c>
      <c r="S121">
        <v>1088.5</v>
      </c>
      <c r="T121" s="8"/>
      <c r="U121" s="7">
        <v>361500</v>
      </c>
      <c r="V121" s="9">
        <v>278927.15400000004</v>
      </c>
      <c r="W121" s="14">
        <v>2.0458201047645441</v>
      </c>
      <c r="X121" s="14">
        <v>0.81761220854955052</v>
      </c>
      <c r="Y121" s="14">
        <v>1.3282245428571431</v>
      </c>
      <c r="Z121" s="15">
        <v>46234</v>
      </c>
      <c r="AA121" s="10">
        <v>305985.35416666663</v>
      </c>
      <c r="AB121">
        <v>27058.200166666706</v>
      </c>
      <c r="AC121" s="10">
        <v>1.2021067397729448</v>
      </c>
      <c r="AD121" s="14">
        <v>0.10327011942863465</v>
      </c>
      <c r="AE121" s="14">
        <f t="shared" si="3"/>
        <v>0.5</v>
      </c>
      <c r="AF121" s="14">
        <f t="shared" si="6"/>
        <v>0</v>
      </c>
      <c r="AG121" s="14">
        <f t="shared" si="4"/>
        <v>0</v>
      </c>
      <c r="AH121" s="14">
        <f t="shared" si="5"/>
        <v>0.5</v>
      </c>
      <c r="AI121" s="6">
        <v>45939</v>
      </c>
      <c r="AJ121">
        <v>268542.70896043064</v>
      </c>
    </row>
    <row r="122" spans="1:36" ht="15.75" x14ac:dyDescent="0.25">
      <c r="A122">
        <v>6244</v>
      </c>
      <c r="B122">
        <v>1</v>
      </c>
      <c r="C122">
        <v>2</v>
      </c>
      <c r="D122">
        <v>6</v>
      </c>
      <c r="E122" t="s">
        <v>35</v>
      </c>
      <c r="F122">
        <v>4</v>
      </c>
      <c r="G122">
        <v>3</v>
      </c>
      <c r="H122" t="s">
        <v>35</v>
      </c>
      <c r="I122">
        <v>3500</v>
      </c>
      <c r="J122">
        <v>1666.6666666666667</v>
      </c>
      <c r="K122">
        <v>0</v>
      </c>
      <c r="L122">
        <v>1000</v>
      </c>
      <c r="M122">
        <v>20360</v>
      </c>
      <c r="N122" s="1">
        <f t="shared" si="1"/>
        <v>3817.5</v>
      </c>
      <c r="O122">
        <v>1920</v>
      </c>
      <c r="P122">
        <v>1500</v>
      </c>
      <c r="Q122">
        <v>3750</v>
      </c>
      <c r="R122">
        <v>400</v>
      </c>
      <c r="S122">
        <v>1088.5</v>
      </c>
      <c r="T122" s="8"/>
      <c r="U122" s="7">
        <v>254500</v>
      </c>
      <c r="V122" s="9">
        <v>187313.28</v>
      </c>
      <c r="W122" s="14">
        <v>1.1806185548816346</v>
      </c>
      <c r="X122" s="14">
        <v>0.4890087732605673</v>
      </c>
      <c r="Y122" s="14">
        <v>0.74925311999999999</v>
      </c>
      <c r="Z122" s="15">
        <v>46234</v>
      </c>
      <c r="AA122" s="10">
        <v>213125.04166666666</v>
      </c>
      <c r="AB122">
        <v>25811.761666666687</v>
      </c>
      <c r="AC122" s="10">
        <v>1.2247739822235622</v>
      </c>
      <c r="AD122" s="14">
        <v>0.14559283852577212</v>
      </c>
      <c r="AE122" s="14">
        <f t="shared" si="3"/>
        <v>0.5</v>
      </c>
      <c r="AF122" s="14">
        <f t="shared" si="6"/>
        <v>0</v>
      </c>
      <c r="AG122" s="14">
        <f t="shared" si="4"/>
        <v>0</v>
      </c>
      <c r="AH122" s="14">
        <f t="shared" si="5"/>
        <v>0.5</v>
      </c>
      <c r="AI122" s="6">
        <v>45939</v>
      </c>
      <c r="AJ122">
        <v>186855.31293276727</v>
      </c>
    </row>
    <row r="123" spans="1:36" ht="15.75" x14ac:dyDescent="0.25">
      <c r="A123">
        <v>6245</v>
      </c>
      <c r="B123">
        <v>1</v>
      </c>
      <c r="C123">
        <v>2</v>
      </c>
      <c r="D123">
        <v>4</v>
      </c>
      <c r="E123" t="s">
        <v>35</v>
      </c>
      <c r="F123">
        <v>4</v>
      </c>
      <c r="G123">
        <v>3</v>
      </c>
      <c r="H123" t="s">
        <v>35</v>
      </c>
      <c r="I123">
        <v>3657.5</v>
      </c>
      <c r="J123">
        <v>962.5</v>
      </c>
      <c r="K123">
        <v>0</v>
      </c>
      <c r="L123">
        <v>600</v>
      </c>
      <c r="M123">
        <v>22400</v>
      </c>
      <c r="N123" s="1">
        <f t="shared" si="1"/>
        <v>4200</v>
      </c>
      <c r="O123">
        <v>2107.5</v>
      </c>
      <c r="P123">
        <v>1875</v>
      </c>
      <c r="Q123">
        <v>3750</v>
      </c>
      <c r="R123">
        <v>400</v>
      </c>
      <c r="S123">
        <v>863.5</v>
      </c>
      <c r="T123" s="8"/>
      <c r="U123" s="7">
        <v>280000</v>
      </c>
      <c r="V123" s="9">
        <v>183095.74065617748</v>
      </c>
      <c r="W123" s="14">
        <v>1.0170116550590453</v>
      </c>
      <c r="X123" s="14">
        <v>0.44891375216426938</v>
      </c>
      <c r="Y123" s="14">
        <v>0.62131854482582483</v>
      </c>
      <c r="Z123" s="15">
        <v>46326</v>
      </c>
      <c r="AA123" s="10">
        <v>236721.5</v>
      </c>
      <c r="AB123">
        <v>53625.75934382269</v>
      </c>
      <c r="AC123" s="10">
        <v>1.2758981886573322</v>
      </c>
      <c r="AD123" s="14">
        <v>0.23646948933601381</v>
      </c>
      <c r="AE123" s="14">
        <f t="shared" si="3"/>
        <v>0.5</v>
      </c>
      <c r="AF123" s="14">
        <f t="shared" si="6"/>
        <v>0</v>
      </c>
      <c r="AG123" s="14">
        <f t="shared" si="4"/>
        <v>0</v>
      </c>
      <c r="AH123" s="14">
        <f t="shared" si="5"/>
        <v>0.5</v>
      </c>
      <c r="AI123" s="6">
        <v>45939</v>
      </c>
      <c r="AJ123">
        <v>200306.98922323124</v>
      </c>
    </row>
    <row r="124" spans="1:36" ht="15.75" x14ac:dyDescent="0.25">
      <c r="A124">
        <v>6246</v>
      </c>
      <c r="B124">
        <v>1</v>
      </c>
      <c r="C124">
        <v>2</v>
      </c>
      <c r="D124">
        <v>4</v>
      </c>
      <c r="E124" t="s">
        <v>35</v>
      </c>
      <c r="F124">
        <v>4</v>
      </c>
      <c r="G124">
        <v>3</v>
      </c>
      <c r="H124" t="s">
        <v>35</v>
      </c>
      <c r="I124">
        <v>2012.5</v>
      </c>
      <c r="J124">
        <v>2333.333333333333</v>
      </c>
      <c r="K124">
        <v>0</v>
      </c>
      <c r="L124">
        <v>800</v>
      </c>
      <c r="M124">
        <v>20240</v>
      </c>
      <c r="N124" s="1">
        <f t="shared" si="1"/>
        <v>3795</v>
      </c>
      <c r="O124">
        <v>1905</v>
      </c>
      <c r="P124">
        <v>1500</v>
      </c>
      <c r="Q124">
        <v>3750</v>
      </c>
      <c r="R124">
        <v>400</v>
      </c>
      <c r="S124">
        <v>908.5</v>
      </c>
      <c r="T124" s="8"/>
      <c r="U124" s="7">
        <v>253000</v>
      </c>
      <c r="V124" s="9">
        <v>137722.44750000001</v>
      </c>
      <c r="W124" s="14">
        <v>1.2778803920755379</v>
      </c>
      <c r="X124" s="14">
        <v>0.59869175873185676</v>
      </c>
      <c r="Y124" s="14">
        <v>0.69207260050251262</v>
      </c>
      <c r="Z124" s="15">
        <v>46326</v>
      </c>
      <c r="AA124" s="10">
        <v>212988.375</v>
      </c>
      <c r="AB124">
        <v>75265.927500000049</v>
      </c>
      <c r="AC124" s="10">
        <v>1.2788679312404643</v>
      </c>
      <c r="AD124" s="14">
        <v>0.43110390305519108</v>
      </c>
      <c r="AE124" s="14">
        <f t="shared" si="3"/>
        <v>0.5</v>
      </c>
      <c r="AF124" s="14">
        <f t="shared" si="6"/>
        <v>0</v>
      </c>
      <c r="AG124" s="14">
        <f t="shared" si="4"/>
        <v>0</v>
      </c>
      <c r="AH124" s="14">
        <f t="shared" si="5"/>
        <v>0.5</v>
      </c>
      <c r="AI124" s="6">
        <v>45939</v>
      </c>
      <c r="AJ124">
        <v>180160.27850042851</v>
      </c>
    </row>
    <row r="125" spans="1:36" ht="15.75" x14ac:dyDescent="0.25">
      <c r="A125">
        <v>6247</v>
      </c>
      <c r="B125">
        <v>1</v>
      </c>
      <c r="C125">
        <v>2</v>
      </c>
      <c r="D125">
        <v>5</v>
      </c>
      <c r="E125">
        <v>4</v>
      </c>
      <c r="F125">
        <v>4</v>
      </c>
      <c r="G125">
        <v>3</v>
      </c>
      <c r="H125">
        <v>50000</v>
      </c>
      <c r="I125">
        <v>5711.875</v>
      </c>
      <c r="J125">
        <v>4631.25</v>
      </c>
      <c r="K125">
        <v>0</v>
      </c>
      <c r="L125">
        <v>1440</v>
      </c>
      <c r="M125">
        <v>33280</v>
      </c>
      <c r="N125" s="1">
        <f t="shared" si="1"/>
        <v>6240</v>
      </c>
      <c r="O125" t="s">
        <v>35</v>
      </c>
      <c r="P125">
        <v>1250</v>
      </c>
      <c r="Q125">
        <v>3750</v>
      </c>
      <c r="R125">
        <v>400</v>
      </c>
      <c r="S125">
        <v>1169.5</v>
      </c>
      <c r="T125" s="8"/>
      <c r="U125" s="7">
        <v>416000</v>
      </c>
      <c r="V125" s="9">
        <v>231812.13</v>
      </c>
      <c r="W125" s="14">
        <v>1.090393500917449</v>
      </c>
      <c r="X125" s="14">
        <v>0.52958283872206702</v>
      </c>
      <c r="Y125" s="14">
        <v>0.73591152380952385</v>
      </c>
      <c r="Z125" s="15">
        <v>46477</v>
      </c>
      <c r="AA125" s="10">
        <v>304511.75000000006</v>
      </c>
      <c r="AB125">
        <v>72699.62</v>
      </c>
      <c r="AC125" s="10">
        <v>1.2867796845532786</v>
      </c>
      <c r="AD125" s="14">
        <v>0.17515845894813539</v>
      </c>
      <c r="AE125" s="14">
        <f t="shared" si="3"/>
        <v>0</v>
      </c>
      <c r="AF125" s="14">
        <f t="shared" si="6"/>
        <v>0.5</v>
      </c>
      <c r="AG125" s="14">
        <f t="shared" si="4"/>
        <v>0.5</v>
      </c>
      <c r="AH125" s="14">
        <f t="shared" si="5"/>
        <v>0</v>
      </c>
      <c r="AI125" s="6">
        <v>45939</v>
      </c>
      <c r="AJ125">
        <v>241001.98115637616</v>
      </c>
    </row>
    <row r="126" spans="1:36" ht="15.75" x14ac:dyDescent="0.25">
      <c r="A126">
        <v>6248</v>
      </c>
      <c r="B126">
        <v>1</v>
      </c>
      <c r="C126">
        <v>2</v>
      </c>
      <c r="D126">
        <v>5</v>
      </c>
      <c r="E126" t="s">
        <v>35</v>
      </c>
      <c r="F126">
        <v>4</v>
      </c>
      <c r="G126">
        <v>3</v>
      </c>
      <c r="H126" t="s">
        <v>35</v>
      </c>
      <c r="I126">
        <v>516.25</v>
      </c>
      <c r="J126">
        <v>1000.0000000000001</v>
      </c>
      <c r="K126">
        <v>0</v>
      </c>
      <c r="L126">
        <v>600</v>
      </c>
      <c r="M126">
        <v>16000</v>
      </c>
      <c r="N126" s="1">
        <f t="shared" si="1"/>
        <v>3000</v>
      </c>
      <c r="O126">
        <v>1500</v>
      </c>
      <c r="P126">
        <v>1800</v>
      </c>
      <c r="Q126">
        <v>3750</v>
      </c>
      <c r="R126">
        <v>400</v>
      </c>
      <c r="S126">
        <v>998.5</v>
      </c>
      <c r="T126" s="8"/>
      <c r="U126" s="7">
        <v>200000</v>
      </c>
      <c r="V126" s="9">
        <v>127633.48636498605</v>
      </c>
      <c r="W126" s="14">
        <v>1.5241968612527454</v>
      </c>
      <c r="X126" s="14">
        <v>0.55560833866407355</v>
      </c>
      <c r="Y126" s="14">
        <v>0.79770928978116284</v>
      </c>
      <c r="Z126" s="15">
        <v>46356</v>
      </c>
      <c r="AA126" s="10">
        <v>168485.79166666666</v>
      </c>
      <c r="AB126">
        <v>40852.305301680462</v>
      </c>
      <c r="AC126" s="10">
        <v>1.2926206606387671</v>
      </c>
      <c r="AD126" s="14">
        <v>0.23735868334770199</v>
      </c>
      <c r="AE126" s="14">
        <f t="shared" si="3"/>
        <v>0.5</v>
      </c>
      <c r="AF126" s="14">
        <f t="shared" si="6"/>
        <v>0</v>
      </c>
      <c r="AG126" s="14">
        <f t="shared" si="4"/>
        <v>0</v>
      </c>
      <c r="AH126" s="14">
        <f t="shared" si="5"/>
        <v>0.5</v>
      </c>
      <c r="AI126" s="6">
        <v>45939</v>
      </c>
      <c r="AJ126">
        <v>140723.42620126816</v>
      </c>
    </row>
    <row r="127" spans="1:36" ht="15.75" x14ac:dyDescent="0.25">
      <c r="A127">
        <v>6249</v>
      </c>
      <c r="B127">
        <v>1</v>
      </c>
      <c r="C127">
        <v>2</v>
      </c>
      <c r="D127">
        <v>6</v>
      </c>
      <c r="E127" t="s">
        <v>35</v>
      </c>
      <c r="F127">
        <v>4</v>
      </c>
      <c r="G127">
        <v>3</v>
      </c>
      <c r="H127" t="s">
        <v>35</v>
      </c>
      <c r="I127">
        <v>10406.666666666666</v>
      </c>
      <c r="J127">
        <v>1866.6666666666667</v>
      </c>
      <c r="K127">
        <v>0</v>
      </c>
      <c r="L127">
        <v>1000</v>
      </c>
      <c r="M127">
        <v>28800</v>
      </c>
      <c r="N127" s="1">
        <f t="shared" si="1"/>
        <v>5400</v>
      </c>
      <c r="O127">
        <v>2722.5</v>
      </c>
      <c r="P127">
        <v>1400</v>
      </c>
      <c r="Q127">
        <v>3750</v>
      </c>
      <c r="R127">
        <v>400</v>
      </c>
      <c r="S127">
        <v>1088.5</v>
      </c>
      <c r="T127" s="8"/>
      <c r="U127" s="7">
        <v>360000</v>
      </c>
      <c r="V127" s="9">
        <v>260821</v>
      </c>
      <c r="W127" s="14">
        <v>1.30728483964395</v>
      </c>
      <c r="X127" s="14">
        <v>0.69142020325162945</v>
      </c>
      <c r="Y127" s="14">
        <v>0.7265208913649025</v>
      </c>
      <c r="Z127" s="15">
        <v>46387</v>
      </c>
      <c r="AA127" s="10">
        <v>299971.70833333331</v>
      </c>
      <c r="AB127">
        <v>39150.708333333139</v>
      </c>
      <c r="AC127" s="10">
        <v>1.3305598621958357</v>
      </c>
      <c r="AD127" s="14">
        <v>0.10606138110160829</v>
      </c>
      <c r="AE127" s="14">
        <f t="shared" si="3"/>
        <v>0.5</v>
      </c>
      <c r="AF127" s="14">
        <f t="shared" si="6"/>
        <v>0</v>
      </c>
      <c r="AG127" s="14">
        <f t="shared" si="4"/>
        <v>0</v>
      </c>
      <c r="AH127" s="14">
        <f t="shared" si="5"/>
        <v>0.5</v>
      </c>
      <c r="AI127" s="6">
        <v>45939</v>
      </c>
      <c r="AJ127">
        <v>247613.97232675125</v>
      </c>
    </row>
    <row r="128" spans="1:36" ht="15.75" x14ac:dyDescent="0.25">
      <c r="A128">
        <v>6250</v>
      </c>
      <c r="B128">
        <v>1</v>
      </c>
      <c r="C128">
        <v>2</v>
      </c>
      <c r="D128">
        <v>6</v>
      </c>
      <c r="E128" t="s">
        <v>35</v>
      </c>
      <c r="F128">
        <v>4</v>
      </c>
      <c r="G128">
        <v>3</v>
      </c>
      <c r="H128" t="s">
        <v>35</v>
      </c>
      <c r="I128">
        <v>5500.666666666667</v>
      </c>
      <c r="J128">
        <v>986.66666666666663</v>
      </c>
      <c r="K128">
        <v>0</v>
      </c>
      <c r="L128">
        <v>1000</v>
      </c>
      <c r="M128">
        <v>15160</v>
      </c>
      <c r="N128" s="1">
        <f t="shared" si="1"/>
        <v>2842.5</v>
      </c>
      <c r="O128">
        <v>1432.5</v>
      </c>
      <c r="P128">
        <v>1400</v>
      </c>
      <c r="Q128">
        <v>3750</v>
      </c>
      <c r="R128">
        <v>400</v>
      </c>
      <c r="S128">
        <v>1088.5</v>
      </c>
      <c r="T128" s="8"/>
      <c r="U128" s="7">
        <v>189500</v>
      </c>
      <c r="V128" s="9">
        <v>91586</v>
      </c>
      <c r="W128" s="14">
        <v>0.77642297444279329</v>
      </c>
      <c r="X128" s="14">
        <v>0.41333732953829255</v>
      </c>
      <c r="Y128" s="14">
        <v>0.5088111111111111</v>
      </c>
      <c r="Z128" s="15">
        <v>46387</v>
      </c>
      <c r="AA128" s="10">
        <v>154258.14583333334</v>
      </c>
      <c r="AB128">
        <v>62672.145833333299</v>
      </c>
      <c r="AC128" s="10">
        <v>1.3118549743555685</v>
      </c>
      <c r="AD128" s="14">
        <v>0.44140974879264827</v>
      </c>
      <c r="AE128" s="14">
        <f t="shared" si="3"/>
        <v>0.5</v>
      </c>
      <c r="AF128" s="14">
        <f t="shared" si="6"/>
        <v>0</v>
      </c>
      <c r="AG128" s="14">
        <f t="shared" si="4"/>
        <v>0</v>
      </c>
      <c r="AH128" s="14">
        <f t="shared" si="5"/>
        <v>0.5</v>
      </c>
      <c r="AI128" s="6">
        <v>45939</v>
      </c>
      <c r="AJ128">
        <v>126877.89644828597</v>
      </c>
    </row>
    <row r="129" spans="1:36" ht="15.75" x14ac:dyDescent="0.25">
      <c r="A129">
        <v>6251</v>
      </c>
      <c r="B129">
        <v>1</v>
      </c>
      <c r="C129">
        <v>2</v>
      </c>
      <c r="D129">
        <v>6</v>
      </c>
      <c r="E129">
        <v>4</v>
      </c>
      <c r="F129">
        <v>4</v>
      </c>
      <c r="G129">
        <v>3</v>
      </c>
      <c r="H129">
        <v>10000</v>
      </c>
      <c r="I129">
        <v>14866.666666666668</v>
      </c>
      <c r="J129">
        <v>2666.666666666667</v>
      </c>
      <c r="K129">
        <v>4740</v>
      </c>
      <c r="L129">
        <v>2000</v>
      </c>
      <c r="M129">
        <v>41000</v>
      </c>
      <c r="N129" s="1">
        <f t="shared" si="1"/>
        <v>7687.5</v>
      </c>
      <c r="O129" t="s">
        <v>35</v>
      </c>
      <c r="P129">
        <v>1400</v>
      </c>
      <c r="Q129">
        <v>3750</v>
      </c>
      <c r="R129">
        <v>400</v>
      </c>
      <c r="S129">
        <v>1304.5</v>
      </c>
      <c r="T129" s="8"/>
      <c r="U129" s="7">
        <v>512500</v>
      </c>
      <c r="V129" s="9">
        <v>301637.49550000002</v>
      </c>
      <c r="W129" s="14">
        <v>0.8692612739417348</v>
      </c>
      <c r="X129" s="14">
        <v>0.57528015578999758</v>
      </c>
      <c r="Y129" s="14">
        <v>0.77342947564102571</v>
      </c>
      <c r="Z129" s="15">
        <v>46507</v>
      </c>
      <c r="AA129" s="10">
        <v>418116.5</v>
      </c>
      <c r="AB129">
        <v>116479.00450000016</v>
      </c>
      <c r="AC129" s="10">
        <v>1.3660174092261028</v>
      </c>
      <c r="AD129" s="14">
        <v>0.20597320199012761</v>
      </c>
      <c r="AE129" s="14">
        <f t="shared" si="3"/>
        <v>0</v>
      </c>
      <c r="AF129" s="14">
        <f t="shared" si="6"/>
        <v>0.5</v>
      </c>
      <c r="AG129" s="14">
        <f t="shared" si="4"/>
        <v>0.5</v>
      </c>
      <c r="AH129" s="14">
        <f t="shared" si="5"/>
        <v>0</v>
      </c>
      <c r="AI129" s="6">
        <v>45939</v>
      </c>
      <c r="AJ129">
        <v>328488.6560701796</v>
      </c>
    </row>
    <row r="130" spans="1:36" ht="15.75" x14ac:dyDescent="0.25">
      <c r="A130">
        <v>6252</v>
      </c>
      <c r="B130">
        <v>1</v>
      </c>
      <c r="C130">
        <v>2</v>
      </c>
      <c r="D130">
        <v>6</v>
      </c>
      <c r="E130" t="s">
        <v>35</v>
      </c>
      <c r="F130">
        <v>4</v>
      </c>
      <c r="G130">
        <v>3</v>
      </c>
      <c r="H130" t="s">
        <v>35</v>
      </c>
      <c r="I130">
        <v>6690</v>
      </c>
      <c r="J130">
        <v>1200</v>
      </c>
      <c r="K130">
        <v>0</v>
      </c>
      <c r="L130">
        <v>1000</v>
      </c>
      <c r="M130">
        <v>18480</v>
      </c>
      <c r="N130" s="1">
        <f t="shared" ref="N130:N192" si="7">0.015*U130</f>
        <v>3465</v>
      </c>
      <c r="O130">
        <v>1747.5</v>
      </c>
      <c r="P130">
        <v>1400</v>
      </c>
      <c r="Q130">
        <v>3750</v>
      </c>
      <c r="R130">
        <v>400</v>
      </c>
      <c r="S130">
        <v>1088.5</v>
      </c>
      <c r="T130" s="8"/>
      <c r="U130" s="7">
        <v>231000</v>
      </c>
      <c r="V130" s="9">
        <v>161405.39249999999</v>
      </c>
      <c r="W130" s="14">
        <v>0.80322505733611094</v>
      </c>
      <c r="X130" s="14">
        <v>0.55029036734234649</v>
      </c>
      <c r="Y130" s="14">
        <v>0.76859710714285712</v>
      </c>
      <c r="Z130" s="15">
        <v>46387</v>
      </c>
      <c r="AA130" s="10">
        <v>189730.5625</v>
      </c>
      <c r="AB130">
        <v>28325.170000000042</v>
      </c>
      <c r="AC130" s="10">
        <v>1.3170617588627322</v>
      </c>
      <c r="AD130" s="14">
        <v>0.12210162281990053</v>
      </c>
      <c r="AE130" s="14">
        <f t="shared" si="3"/>
        <v>0.5</v>
      </c>
      <c r="AF130" s="14">
        <f t="shared" si="6"/>
        <v>0</v>
      </c>
      <c r="AG130" s="14">
        <f t="shared" si="4"/>
        <v>0</v>
      </c>
      <c r="AH130" s="14">
        <f t="shared" si="5"/>
        <v>0.5</v>
      </c>
      <c r="AI130" s="6">
        <v>45939</v>
      </c>
      <c r="AJ130">
        <v>156270.24477970347</v>
      </c>
    </row>
    <row r="131" spans="1:36" ht="15.75" x14ac:dyDescent="0.25">
      <c r="A131">
        <v>6253</v>
      </c>
      <c r="B131">
        <v>1</v>
      </c>
      <c r="C131">
        <v>2</v>
      </c>
      <c r="D131">
        <v>6</v>
      </c>
      <c r="E131">
        <v>4</v>
      </c>
      <c r="F131">
        <v>4</v>
      </c>
      <c r="G131">
        <v>3</v>
      </c>
      <c r="H131">
        <v>75000</v>
      </c>
      <c r="I131">
        <v>7433.3333333333339</v>
      </c>
      <c r="J131">
        <v>1333.3333333333335</v>
      </c>
      <c r="K131">
        <v>0</v>
      </c>
      <c r="L131">
        <v>2000</v>
      </c>
      <c r="M131">
        <v>28960</v>
      </c>
      <c r="N131" s="1">
        <f t="shared" si="7"/>
        <v>5430</v>
      </c>
      <c r="O131" t="s">
        <v>35</v>
      </c>
      <c r="P131">
        <v>1400</v>
      </c>
      <c r="Q131">
        <v>3750</v>
      </c>
      <c r="R131">
        <v>400</v>
      </c>
      <c r="S131">
        <v>1304.5</v>
      </c>
      <c r="T131" s="8"/>
      <c r="U131" s="7">
        <v>362000</v>
      </c>
      <c r="V131" s="9">
        <v>149325.99549999999</v>
      </c>
      <c r="W131" s="14">
        <v>1.0014742212562886</v>
      </c>
      <c r="X131" s="14">
        <v>0.41812223194497516</v>
      </c>
      <c r="Y131" s="14">
        <v>0.82958886388888886</v>
      </c>
      <c r="Z131" s="15">
        <v>46507</v>
      </c>
      <c r="AA131" s="10">
        <v>231588</v>
      </c>
      <c r="AB131">
        <v>82262.004499999952</v>
      </c>
      <c r="AC131" s="10">
        <v>1.2456968765511374</v>
      </c>
      <c r="AD131" s="14">
        <v>0.26774836182594308</v>
      </c>
      <c r="AE131" s="14">
        <f t="shared" si="3"/>
        <v>0</v>
      </c>
      <c r="AF131" s="14">
        <f t="shared" si="6"/>
        <v>0.5</v>
      </c>
      <c r="AG131" s="14">
        <f t="shared" si="4"/>
        <v>0.5</v>
      </c>
      <c r="AH131" s="14">
        <f t="shared" si="5"/>
        <v>0</v>
      </c>
      <c r="AI131" s="6">
        <v>45939</v>
      </c>
      <c r="AJ131">
        <v>179441.81330532275</v>
      </c>
    </row>
    <row r="132" spans="1:36" ht="15.75" x14ac:dyDescent="0.25">
      <c r="A132">
        <v>6254</v>
      </c>
      <c r="B132">
        <v>1</v>
      </c>
      <c r="C132">
        <v>2</v>
      </c>
      <c r="D132">
        <v>6</v>
      </c>
      <c r="E132">
        <v>4</v>
      </c>
      <c r="F132">
        <v>4</v>
      </c>
      <c r="G132">
        <v>3</v>
      </c>
      <c r="H132">
        <v>45000</v>
      </c>
      <c r="I132">
        <v>12079.166666666668</v>
      </c>
      <c r="J132">
        <v>2166.6666666666665</v>
      </c>
      <c r="K132">
        <v>0</v>
      </c>
      <c r="L132">
        <v>2000</v>
      </c>
      <c r="M132">
        <v>36040</v>
      </c>
      <c r="N132" s="1">
        <f t="shared" si="7"/>
        <v>6757.5</v>
      </c>
      <c r="O132" t="s">
        <v>35</v>
      </c>
      <c r="P132">
        <v>1400</v>
      </c>
      <c r="Q132">
        <v>3750</v>
      </c>
      <c r="R132">
        <v>400</v>
      </c>
      <c r="S132">
        <v>1304.5</v>
      </c>
      <c r="T132" s="8"/>
      <c r="U132" s="7">
        <v>450500</v>
      </c>
      <c r="V132" s="9">
        <v>241095.16750000001</v>
      </c>
      <c r="W132" s="14">
        <v>1.7457849238204133</v>
      </c>
      <c r="X132" s="14">
        <v>0.74907993523544425</v>
      </c>
      <c r="Y132" s="14">
        <v>0.75342239843750003</v>
      </c>
      <c r="Z132" s="15">
        <v>46507</v>
      </c>
      <c r="AA132" s="10">
        <v>335453.3125</v>
      </c>
      <c r="AB132">
        <v>94358.145000000135</v>
      </c>
      <c r="AC132" s="10">
        <v>1.3049273555188372</v>
      </c>
      <c r="AD132" s="14">
        <v>0.20456877350807193</v>
      </c>
      <c r="AE132" s="14">
        <f t="shared" si="3"/>
        <v>0</v>
      </c>
      <c r="AF132" s="14">
        <f t="shared" si="6"/>
        <v>0.5</v>
      </c>
      <c r="AG132" s="14">
        <f t="shared" si="4"/>
        <v>0.5</v>
      </c>
      <c r="AH132" s="14">
        <f t="shared" si="5"/>
        <v>0</v>
      </c>
      <c r="AI132" s="6">
        <v>45939</v>
      </c>
      <c r="AJ132">
        <v>262418.64349807281</v>
      </c>
    </row>
    <row r="133" spans="1:36" ht="15.75" x14ac:dyDescent="0.25">
      <c r="A133">
        <v>6255</v>
      </c>
      <c r="B133">
        <v>1</v>
      </c>
      <c r="C133">
        <v>2</v>
      </c>
      <c r="D133">
        <v>6</v>
      </c>
      <c r="E133" t="s">
        <v>35</v>
      </c>
      <c r="F133">
        <v>4</v>
      </c>
      <c r="G133">
        <v>3</v>
      </c>
      <c r="H133" t="s">
        <v>35</v>
      </c>
      <c r="I133">
        <v>9663.3333333333339</v>
      </c>
      <c r="J133">
        <v>1733.3333333333333</v>
      </c>
      <c r="K133">
        <v>0</v>
      </c>
      <c r="L133">
        <v>1000</v>
      </c>
      <c r="M133">
        <v>26720</v>
      </c>
      <c r="N133" s="1">
        <f t="shared" si="7"/>
        <v>5010</v>
      </c>
      <c r="O133">
        <v>2527.5</v>
      </c>
      <c r="P133">
        <v>1400</v>
      </c>
      <c r="Q133">
        <v>3750</v>
      </c>
      <c r="R133">
        <v>400</v>
      </c>
      <c r="S133">
        <v>1088.5</v>
      </c>
      <c r="T133" s="8"/>
      <c r="U133" s="7">
        <v>334000</v>
      </c>
      <c r="V133" s="9">
        <v>229076.49600000001</v>
      </c>
      <c r="W133" s="14">
        <v>1.2680986709670934</v>
      </c>
      <c r="X133" s="14">
        <v>0.53514709890493373</v>
      </c>
      <c r="Y133" s="14">
        <v>0.80377717894736844</v>
      </c>
      <c r="Z133" s="15">
        <v>46387</v>
      </c>
      <c r="AA133" s="10">
        <v>277745.97916666669</v>
      </c>
      <c r="AB133">
        <v>48669.483166666556</v>
      </c>
      <c r="AC133" s="10">
        <v>1.2938481877167853</v>
      </c>
      <c r="AD133" s="14">
        <v>0.14858763813972475</v>
      </c>
      <c r="AE133" s="14">
        <f t="shared" si="3"/>
        <v>0.5</v>
      </c>
      <c r="AF133" s="14">
        <f t="shared" si="6"/>
        <v>0</v>
      </c>
      <c r="AG133" s="14">
        <f t="shared" si="4"/>
        <v>0</v>
      </c>
      <c r="AH133" s="14">
        <f t="shared" si="5"/>
        <v>0.5</v>
      </c>
      <c r="AI133" s="6">
        <v>45939</v>
      </c>
      <c r="AJ133">
        <v>229197.6308933761</v>
      </c>
    </row>
    <row r="134" spans="1:36" ht="15.75" x14ac:dyDescent="0.25">
      <c r="A134">
        <v>6256</v>
      </c>
      <c r="B134">
        <v>1</v>
      </c>
      <c r="C134">
        <v>2</v>
      </c>
      <c r="D134">
        <v>6</v>
      </c>
      <c r="E134">
        <v>4</v>
      </c>
      <c r="F134">
        <v>4</v>
      </c>
      <c r="G134">
        <v>3</v>
      </c>
      <c r="H134">
        <v>150000</v>
      </c>
      <c r="I134">
        <v>14680.833333333332</v>
      </c>
      <c r="J134">
        <v>2633.333333333333</v>
      </c>
      <c r="K134">
        <v>0</v>
      </c>
      <c r="L134">
        <v>2000</v>
      </c>
      <c r="M134">
        <v>53880</v>
      </c>
      <c r="N134" s="1">
        <f t="shared" si="7"/>
        <v>10102.5</v>
      </c>
      <c r="O134" t="s">
        <v>35</v>
      </c>
      <c r="P134">
        <v>1400</v>
      </c>
      <c r="Q134">
        <v>3750</v>
      </c>
      <c r="R134">
        <v>400</v>
      </c>
      <c r="S134">
        <v>1304.5</v>
      </c>
      <c r="T134" s="8"/>
      <c r="U134" s="7">
        <v>673500</v>
      </c>
      <c r="V134" s="9">
        <v>313761.69</v>
      </c>
      <c r="W134" s="14">
        <v>1.1401503437983909</v>
      </c>
      <c r="X134" s="14">
        <v>0.50860708626752216</v>
      </c>
      <c r="Y134" s="14">
        <v>1.0458723000000001</v>
      </c>
      <c r="Z134" s="15">
        <v>46507</v>
      </c>
      <c r="AA134" s="10">
        <v>427046.6875</v>
      </c>
      <c r="AB134">
        <v>113284.99749999965</v>
      </c>
      <c r="AC134" s="10">
        <v>1.2699464683472859</v>
      </c>
      <c r="AD134" s="14">
        <v>0.1833529055118561</v>
      </c>
      <c r="AE134" s="14">
        <f t="shared" si="3"/>
        <v>0</v>
      </c>
      <c r="AF134" s="14">
        <f t="shared" si="6"/>
        <v>0.5</v>
      </c>
      <c r="AG134" s="14">
        <f t="shared" si="4"/>
        <v>0.5</v>
      </c>
      <c r="AH134" s="14">
        <f t="shared" si="5"/>
        <v>0</v>
      </c>
      <c r="AI134" s="6">
        <v>45939</v>
      </c>
      <c r="AJ134">
        <v>331418.96002927033</v>
      </c>
    </row>
    <row r="135" spans="1:36" ht="15.75" x14ac:dyDescent="0.25">
      <c r="A135">
        <v>6257</v>
      </c>
      <c r="B135">
        <v>1</v>
      </c>
      <c r="C135">
        <v>2</v>
      </c>
      <c r="D135">
        <v>6</v>
      </c>
      <c r="E135">
        <v>4</v>
      </c>
      <c r="F135">
        <v>4</v>
      </c>
      <c r="G135">
        <v>3</v>
      </c>
      <c r="H135">
        <v>90000</v>
      </c>
      <c r="I135">
        <v>8362.5</v>
      </c>
      <c r="J135">
        <v>1500</v>
      </c>
      <c r="K135">
        <v>0</v>
      </c>
      <c r="L135">
        <v>2000</v>
      </c>
      <c r="M135">
        <v>31040</v>
      </c>
      <c r="N135" s="1">
        <f t="shared" si="7"/>
        <v>5820</v>
      </c>
      <c r="O135" t="s">
        <v>35</v>
      </c>
      <c r="P135">
        <v>1400</v>
      </c>
      <c r="Q135">
        <v>3750</v>
      </c>
      <c r="R135">
        <v>400</v>
      </c>
      <c r="S135">
        <v>1304.5</v>
      </c>
      <c r="T135" s="8"/>
      <c r="U135" s="7">
        <v>388000</v>
      </c>
      <c r="V135" s="9">
        <v>141484.44200000001</v>
      </c>
      <c r="W135" s="14">
        <v>0.82011807984782503</v>
      </c>
      <c r="X135" s="14">
        <v>0.47053777706415201</v>
      </c>
      <c r="Y135" s="14">
        <v>0.72556124102564112</v>
      </c>
      <c r="Z135" s="15">
        <v>46507</v>
      </c>
      <c r="AA135" s="10">
        <v>238789.5625</v>
      </c>
      <c r="AB135">
        <v>97305.120499999932</v>
      </c>
      <c r="AC135" s="10">
        <v>1.2438527774998893</v>
      </c>
      <c r="AD135" s="14">
        <v>0.32243230938911438</v>
      </c>
      <c r="AE135" s="14">
        <f t="shared" si="3"/>
        <v>0</v>
      </c>
      <c r="AF135" s="14">
        <f t="shared" ref="AF135:AF166" si="8">IF(E135&lt;&gt;"",0.5,0)</f>
        <v>0.5</v>
      </c>
      <c r="AG135" s="14">
        <f t="shared" si="4"/>
        <v>0.5</v>
      </c>
      <c r="AH135" s="14">
        <f t="shared" si="5"/>
        <v>0</v>
      </c>
      <c r="AI135" s="6">
        <v>45939</v>
      </c>
      <c r="AJ135">
        <v>184566.46353808415</v>
      </c>
    </row>
    <row r="136" spans="1:36" ht="15.75" x14ac:dyDescent="0.25">
      <c r="A136">
        <v>6258</v>
      </c>
      <c r="B136">
        <v>1</v>
      </c>
      <c r="C136">
        <v>2</v>
      </c>
      <c r="D136">
        <v>6</v>
      </c>
      <c r="E136">
        <v>4</v>
      </c>
      <c r="F136">
        <v>4</v>
      </c>
      <c r="G136">
        <v>3</v>
      </c>
      <c r="H136">
        <v>90000</v>
      </c>
      <c r="I136">
        <v>10964.166666666668</v>
      </c>
      <c r="J136">
        <v>1966.6666666666665</v>
      </c>
      <c r="K136">
        <v>0</v>
      </c>
      <c r="L136">
        <v>2000</v>
      </c>
      <c r="M136">
        <v>39360</v>
      </c>
      <c r="N136" s="1">
        <f t="shared" si="7"/>
        <v>7380</v>
      </c>
      <c r="O136" t="s">
        <v>35</v>
      </c>
      <c r="P136">
        <v>1400</v>
      </c>
      <c r="Q136">
        <v>3750</v>
      </c>
      <c r="R136">
        <v>400</v>
      </c>
      <c r="S136">
        <v>1304.5</v>
      </c>
      <c r="T136" s="8"/>
      <c r="U136" s="7">
        <v>492000</v>
      </c>
      <c r="V136" s="9">
        <v>224662.44900000005</v>
      </c>
      <c r="W136" s="14">
        <v>1.2892822593515705</v>
      </c>
      <c r="X136" s="14">
        <v>0.57532262376625565</v>
      </c>
      <c r="Y136" s="14">
        <v>1.0959143853658539</v>
      </c>
      <c r="Z136" s="15">
        <v>46507</v>
      </c>
      <c r="AA136" s="10">
        <v>328877.9375</v>
      </c>
      <c r="AB136">
        <v>104215.4884999998</v>
      </c>
      <c r="AC136" s="10">
        <v>1.2826837120004495</v>
      </c>
      <c r="AD136" s="14">
        <v>0.23330772519111634</v>
      </c>
      <c r="AE136" s="14">
        <f t="shared" ref="AE136:AE188" si="9">IF(AF136=0,0.5,0)</f>
        <v>0</v>
      </c>
      <c r="AF136" s="14">
        <f t="shared" si="8"/>
        <v>0.5</v>
      </c>
      <c r="AG136" s="14">
        <f t="shared" ref="AG136:AG188" si="10">IF(AF136=0,0,0.5)</f>
        <v>0.5</v>
      </c>
      <c r="AH136" s="14">
        <f t="shared" ref="AH136:AH188" si="11">IF(AF136=0,0.5,0)</f>
        <v>0</v>
      </c>
      <c r="AI136" s="6">
        <v>45939</v>
      </c>
      <c r="AJ136">
        <v>255833.23335597059</v>
      </c>
    </row>
    <row r="137" spans="1:36" ht="15.75" x14ac:dyDescent="0.25">
      <c r="A137">
        <v>6259</v>
      </c>
      <c r="B137">
        <v>1</v>
      </c>
      <c r="C137">
        <v>2</v>
      </c>
      <c r="D137">
        <v>6</v>
      </c>
      <c r="E137">
        <v>4</v>
      </c>
      <c r="F137">
        <v>4</v>
      </c>
      <c r="G137">
        <v>3</v>
      </c>
      <c r="H137">
        <v>65000</v>
      </c>
      <c r="I137">
        <v>11521.666666666668</v>
      </c>
      <c r="J137">
        <v>2066.6666666666665</v>
      </c>
      <c r="K137">
        <v>0</v>
      </c>
      <c r="L137">
        <v>2000</v>
      </c>
      <c r="M137">
        <v>33960</v>
      </c>
      <c r="N137" s="1">
        <f t="shared" si="7"/>
        <v>6367.5</v>
      </c>
      <c r="O137" t="s">
        <v>35</v>
      </c>
      <c r="P137">
        <v>1400</v>
      </c>
      <c r="Q137">
        <v>3750</v>
      </c>
      <c r="R137">
        <v>400</v>
      </c>
      <c r="S137">
        <v>1304.5</v>
      </c>
      <c r="T137" s="8"/>
      <c r="U137" s="7">
        <v>424500</v>
      </c>
      <c r="V137" s="9">
        <v>226100.94649999999</v>
      </c>
      <c r="W137" s="14">
        <v>1.5890704075424935</v>
      </c>
      <c r="X137" s="14">
        <v>0.87690873357494947</v>
      </c>
      <c r="Y137" s="14">
        <v>0.73171827346278318</v>
      </c>
      <c r="Z137" s="15">
        <v>46507</v>
      </c>
      <c r="AA137" s="10">
        <v>292824.375</v>
      </c>
      <c r="AB137">
        <v>66723.428500000038</v>
      </c>
      <c r="AC137" s="10">
        <v>1.2767704896059582</v>
      </c>
      <c r="AD137" s="14">
        <v>0.15386522412300113</v>
      </c>
      <c r="AE137" s="14">
        <f t="shared" si="9"/>
        <v>0</v>
      </c>
      <c r="AF137" s="14">
        <f t="shared" si="8"/>
        <v>0.5</v>
      </c>
      <c r="AG137" s="14">
        <f t="shared" si="10"/>
        <v>0.5</v>
      </c>
      <c r="AH137" s="14">
        <f t="shared" si="11"/>
        <v>0</v>
      </c>
      <c r="AI137" s="6">
        <v>45939</v>
      </c>
      <c r="AJ137">
        <v>227963.86367990365</v>
      </c>
    </row>
    <row r="138" spans="1:36" ht="15.75" x14ac:dyDescent="0.25">
      <c r="A138">
        <v>6260</v>
      </c>
      <c r="B138">
        <v>1</v>
      </c>
      <c r="C138">
        <v>2</v>
      </c>
      <c r="D138">
        <v>6</v>
      </c>
      <c r="E138">
        <v>4</v>
      </c>
      <c r="F138">
        <v>4</v>
      </c>
      <c r="G138">
        <v>3</v>
      </c>
      <c r="H138">
        <v>50000</v>
      </c>
      <c r="I138">
        <v>10035</v>
      </c>
      <c r="J138">
        <v>1800</v>
      </c>
      <c r="K138">
        <v>0</v>
      </c>
      <c r="L138">
        <v>2000</v>
      </c>
      <c r="M138">
        <v>33160</v>
      </c>
      <c r="N138" s="1">
        <f t="shared" si="7"/>
        <v>6217.5</v>
      </c>
      <c r="O138" t="s">
        <v>35</v>
      </c>
      <c r="P138">
        <v>1400</v>
      </c>
      <c r="Q138">
        <v>3750</v>
      </c>
      <c r="R138">
        <v>400</v>
      </c>
      <c r="S138">
        <v>1304.5</v>
      </c>
      <c r="T138" s="8"/>
      <c r="U138" s="7">
        <v>414500</v>
      </c>
      <c r="V138" s="9">
        <v>205023.63851736576</v>
      </c>
      <c r="W138" s="14">
        <v>1.8632274168327618</v>
      </c>
      <c r="X138" s="14">
        <v>0.87518753967713558</v>
      </c>
      <c r="Y138" s="14">
        <v>0.68341212839121923</v>
      </c>
      <c r="Z138" s="15">
        <v>46507</v>
      </c>
      <c r="AA138" s="10">
        <v>300583.875</v>
      </c>
      <c r="AB138">
        <v>95560.236482634267</v>
      </c>
      <c r="AC138" s="10">
        <v>1.3132319794830491</v>
      </c>
      <c r="AD138" s="14">
        <v>0.23864832520484924</v>
      </c>
      <c r="AE138" s="14">
        <f t="shared" si="9"/>
        <v>0</v>
      </c>
      <c r="AF138" s="14">
        <f t="shared" si="8"/>
        <v>0.5</v>
      </c>
      <c r="AG138" s="14">
        <f t="shared" si="10"/>
        <v>0.5</v>
      </c>
      <c r="AH138" s="14">
        <f t="shared" si="11"/>
        <v>0</v>
      </c>
      <c r="AI138" s="6">
        <v>45939</v>
      </c>
      <c r="AJ138">
        <v>234781.31060399901</v>
      </c>
    </row>
    <row r="139" spans="1:36" ht="15.75" x14ac:dyDescent="0.25">
      <c r="A139">
        <v>6261</v>
      </c>
      <c r="B139">
        <v>1</v>
      </c>
      <c r="C139">
        <v>2</v>
      </c>
      <c r="D139">
        <v>6</v>
      </c>
      <c r="E139">
        <v>4</v>
      </c>
      <c r="F139">
        <v>4</v>
      </c>
      <c r="G139">
        <v>3</v>
      </c>
      <c r="H139">
        <v>50000</v>
      </c>
      <c r="I139">
        <v>13937.5</v>
      </c>
      <c r="J139">
        <v>2500</v>
      </c>
      <c r="K139">
        <v>0</v>
      </c>
      <c r="L139">
        <v>2000</v>
      </c>
      <c r="M139">
        <v>37280</v>
      </c>
      <c r="N139" s="1">
        <f t="shared" si="7"/>
        <v>6990</v>
      </c>
      <c r="O139" t="s">
        <v>35</v>
      </c>
      <c r="P139">
        <v>1400</v>
      </c>
      <c r="Q139">
        <v>3750</v>
      </c>
      <c r="R139">
        <v>400</v>
      </c>
      <c r="S139">
        <v>1304.5</v>
      </c>
      <c r="T139" s="8"/>
      <c r="U139" s="7">
        <v>466000</v>
      </c>
      <c r="V139" s="9">
        <v>249073.10450000002</v>
      </c>
      <c r="W139" s="14">
        <v>0.85241044480164452</v>
      </c>
      <c r="X139" s="14">
        <v>0.52673045939366292</v>
      </c>
      <c r="Y139" s="14">
        <v>0.64029075706940874</v>
      </c>
      <c r="Z139" s="15">
        <v>46507</v>
      </c>
      <c r="AA139" s="10">
        <v>342188.9375</v>
      </c>
      <c r="AB139">
        <v>93115.833000000217</v>
      </c>
      <c r="AC139" s="10">
        <v>1.3123782324618025</v>
      </c>
      <c r="AD139" s="14">
        <v>0.19511550068855288</v>
      </c>
      <c r="AE139" s="14">
        <f t="shared" si="9"/>
        <v>0</v>
      </c>
      <c r="AF139" s="14">
        <f t="shared" si="8"/>
        <v>0.5</v>
      </c>
      <c r="AG139" s="14">
        <f t="shared" si="10"/>
        <v>0.5</v>
      </c>
      <c r="AH139" s="14">
        <f t="shared" si="11"/>
        <v>0</v>
      </c>
      <c r="AI139" s="6">
        <v>45939</v>
      </c>
      <c r="AJ139">
        <v>267402.69578159589</v>
      </c>
    </row>
    <row r="140" spans="1:36" ht="15.75" x14ac:dyDescent="0.25">
      <c r="A140">
        <v>6262</v>
      </c>
      <c r="B140">
        <v>1</v>
      </c>
      <c r="C140">
        <v>2</v>
      </c>
      <c r="D140">
        <v>6</v>
      </c>
      <c r="E140" t="s">
        <v>35</v>
      </c>
      <c r="F140">
        <v>4</v>
      </c>
      <c r="G140">
        <v>3</v>
      </c>
      <c r="H140" t="s">
        <v>35</v>
      </c>
      <c r="I140">
        <v>12636.666666666666</v>
      </c>
      <c r="J140">
        <v>2266.6666666666665</v>
      </c>
      <c r="K140">
        <v>0</v>
      </c>
      <c r="L140">
        <v>1000</v>
      </c>
      <c r="M140">
        <v>34920</v>
      </c>
      <c r="N140" s="1">
        <f t="shared" si="7"/>
        <v>6547.5</v>
      </c>
      <c r="O140">
        <v>3300</v>
      </c>
      <c r="P140">
        <v>1400</v>
      </c>
      <c r="Q140">
        <v>3750</v>
      </c>
      <c r="R140">
        <v>400</v>
      </c>
      <c r="S140">
        <v>1088.5</v>
      </c>
      <c r="T140" s="8"/>
      <c r="U140" s="7">
        <v>436500</v>
      </c>
      <c r="V140" s="9">
        <v>281228.75</v>
      </c>
      <c r="W140" s="14">
        <v>1.4281607038588999</v>
      </c>
      <c r="X140" s="14">
        <v>0.42786486950147151</v>
      </c>
      <c r="Y140" s="14">
        <v>0.72295308483290488</v>
      </c>
      <c r="Z140" s="15">
        <v>46387</v>
      </c>
      <c r="AA140" s="10">
        <v>365317.64583333337</v>
      </c>
      <c r="AB140">
        <v>84088.895833333198</v>
      </c>
      <c r="AC140" s="10">
        <v>1.3211653643460772</v>
      </c>
      <c r="AD140" s="14">
        <v>0.20790917277336118</v>
      </c>
      <c r="AE140" s="14">
        <f t="shared" si="9"/>
        <v>0.5</v>
      </c>
      <c r="AF140" s="14">
        <f t="shared" si="8"/>
        <v>0</v>
      </c>
      <c r="AG140" s="14">
        <f t="shared" si="10"/>
        <v>0</v>
      </c>
      <c r="AH140" s="14">
        <f t="shared" si="11"/>
        <v>0.5</v>
      </c>
      <c r="AI140" s="6">
        <v>45939</v>
      </c>
      <c r="AJ140">
        <v>301756.02719713456</v>
      </c>
    </row>
    <row r="141" spans="1:36" ht="15.75" x14ac:dyDescent="0.25">
      <c r="A141">
        <v>6263</v>
      </c>
      <c r="B141">
        <v>1</v>
      </c>
      <c r="C141">
        <v>2</v>
      </c>
      <c r="D141">
        <v>6</v>
      </c>
      <c r="E141" t="s">
        <v>35</v>
      </c>
      <c r="F141">
        <v>4</v>
      </c>
      <c r="G141">
        <v>3</v>
      </c>
      <c r="H141" t="s">
        <v>35</v>
      </c>
      <c r="I141">
        <v>10704</v>
      </c>
      <c r="J141">
        <v>1920</v>
      </c>
      <c r="K141">
        <v>0</v>
      </c>
      <c r="L141">
        <v>1000</v>
      </c>
      <c r="M141">
        <v>29600</v>
      </c>
      <c r="N141" s="1">
        <f t="shared" si="7"/>
        <v>5550</v>
      </c>
      <c r="O141">
        <v>2797.5</v>
      </c>
      <c r="P141">
        <v>1400</v>
      </c>
      <c r="Q141">
        <v>3750</v>
      </c>
      <c r="R141">
        <v>400</v>
      </c>
      <c r="S141">
        <v>1088.5</v>
      </c>
      <c r="T141" s="8"/>
      <c r="U141" s="7">
        <v>370000</v>
      </c>
      <c r="V141" s="9">
        <v>229300.41620280771</v>
      </c>
      <c r="W141" s="14">
        <v>0.93508726596479264</v>
      </c>
      <c r="X141" s="14">
        <v>0.52460200774366006</v>
      </c>
      <c r="Y141" s="14">
        <v>0.66463888754437017</v>
      </c>
      <c r="Z141" s="15">
        <v>46387</v>
      </c>
      <c r="AA141" s="10">
        <v>308507</v>
      </c>
      <c r="AB141">
        <v>79206.583797192317</v>
      </c>
      <c r="AC141" s="10">
        <v>1.2779906779396049</v>
      </c>
      <c r="AD141" s="14">
        <v>0.2379745900630951</v>
      </c>
      <c r="AE141" s="14">
        <f t="shared" si="9"/>
        <v>0.5</v>
      </c>
      <c r="AF141" s="14">
        <f t="shared" si="8"/>
        <v>0</v>
      </c>
      <c r="AG141" s="14">
        <f t="shared" si="10"/>
        <v>0</v>
      </c>
      <c r="AH141" s="14">
        <f t="shared" si="11"/>
        <v>0.5</v>
      </c>
      <c r="AI141" s="6">
        <v>45939</v>
      </c>
      <c r="AJ141">
        <v>254685.31705217008</v>
      </c>
    </row>
    <row r="142" spans="1:36" ht="15.75" x14ac:dyDescent="0.25">
      <c r="A142">
        <v>6264</v>
      </c>
      <c r="B142">
        <v>1</v>
      </c>
      <c r="C142">
        <v>2</v>
      </c>
      <c r="D142">
        <v>6</v>
      </c>
      <c r="E142" t="s">
        <v>35</v>
      </c>
      <c r="F142">
        <v>4</v>
      </c>
      <c r="G142">
        <v>3</v>
      </c>
      <c r="H142" t="s">
        <v>35</v>
      </c>
      <c r="I142">
        <v>12636.666666666666</v>
      </c>
      <c r="J142">
        <v>2266.6666666666665</v>
      </c>
      <c r="K142">
        <v>0</v>
      </c>
      <c r="L142">
        <v>1000</v>
      </c>
      <c r="M142">
        <v>34920</v>
      </c>
      <c r="N142" s="1">
        <f t="shared" si="7"/>
        <v>6547.5</v>
      </c>
      <c r="O142">
        <v>3300</v>
      </c>
      <c r="P142">
        <v>1400</v>
      </c>
      <c r="Q142">
        <v>3750</v>
      </c>
      <c r="R142">
        <v>400</v>
      </c>
      <c r="S142">
        <v>1088.5</v>
      </c>
      <c r="T142" s="8"/>
      <c r="U142" s="7">
        <v>436500</v>
      </c>
      <c r="V142" s="9">
        <v>284626.39150000003</v>
      </c>
      <c r="W142" s="14">
        <v>1.0091857579863655</v>
      </c>
      <c r="X142" s="14">
        <v>0.43457273788341938</v>
      </c>
      <c r="Y142" s="14">
        <v>0.9487546383333334</v>
      </c>
      <c r="Z142" s="15">
        <v>46387</v>
      </c>
      <c r="AA142" s="10">
        <v>365317.64583333337</v>
      </c>
      <c r="AB142">
        <v>80691.254333333171</v>
      </c>
      <c r="AC142" s="10">
        <v>1.2792714813020876</v>
      </c>
      <c r="AD142" s="14">
        <v>0.19751643538475042</v>
      </c>
      <c r="AE142" s="14">
        <f t="shared" si="9"/>
        <v>0.5</v>
      </c>
      <c r="AF142" s="14">
        <f t="shared" si="8"/>
        <v>0</v>
      </c>
      <c r="AG142" s="14">
        <f t="shared" si="10"/>
        <v>0</v>
      </c>
      <c r="AH142" s="14">
        <f t="shared" si="11"/>
        <v>0.5</v>
      </c>
      <c r="AI142" s="6">
        <v>45939</v>
      </c>
      <c r="AJ142">
        <v>301756.02719713456</v>
      </c>
    </row>
    <row r="143" spans="1:36" ht="15.75" x14ac:dyDescent="0.25">
      <c r="A143">
        <v>6265</v>
      </c>
      <c r="B143">
        <v>1</v>
      </c>
      <c r="C143">
        <v>2</v>
      </c>
      <c r="D143">
        <v>6</v>
      </c>
      <c r="E143" t="s">
        <v>35</v>
      </c>
      <c r="F143">
        <v>4</v>
      </c>
      <c r="G143">
        <v>3</v>
      </c>
      <c r="H143" t="s">
        <v>35</v>
      </c>
      <c r="I143">
        <v>18137.333333333332</v>
      </c>
      <c r="J143">
        <v>3253.3333333333335</v>
      </c>
      <c r="K143">
        <v>0</v>
      </c>
      <c r="L143">
        <v>1000</v>
      </c>
      <c r="M143">
        <v>50160</v>
      </c>
      <c r="N143" s="1">
        <f t="shared" si="7"/>
        <v>9405</v>
      </c>
      <c r="O143">
        <v>4740</v>
      </c>
      <c r="P143">
        <v>1400</v>
      </c>
      <c r="Q143">
        <v>3750</v>
      </c>
      <c r="R143">
        <v>400</v>
      </c>
      <c r="S143">
        <v>1088.5</v>
      </c>
      <c r="T143" s="8"/>
      <c r="U143" s="7">
        <v>627000</v>
      </c>
      <c r="V143" s="9">
        <v>409636.304</v>
      </c>
      <c r="W143" s="14">
        <v>1.2345147570959396</v>
      </c>
      <c r="X143" s="14">
        <v>0.52092343910338101</v>
      </c>
      <c r="Y143" s="14">
        <v>0.74479328</v>
      </c>
      <c r="Z143" s="15">
        <v>46387</v>
      </c>
      <c r="AA143" s="10">
        <v>528101.79166666663</v>
      </c>
      <c r="AB143">
        <v>118465.48766666686</v>
      </c>
      <c r="AC143" s="10">
        <v>1.2785697113547763</v>
      </c>
      <c r="AD143" s="14">
        <v>0.20247744917869567</v>
      </c>
      <c r="AE143" s="14">
        <f t="shared" si="9"/>
        <v>0.5</v>
      </c>
      <c r="AF143" s="14">
        <f t="shared" si="8"/>
        <v>0</v>
      </c>
      <c r="AG143" s="14">
        <f t="shared" si="10"/>
        <v>0</v>
      </c>
      <c r="AH143" s="14">
        <f t="shared" si="11"/>
        <v>0.5</v>
      </c>
      <c r="AI143" s="6">
        <v>45939</v>
      </c>
      <c r="AJ143">
        <v>436634.79252643738</v>
      </c>
    </row>
    <row r="144" spans="1:36" ht="15.75" x14ac:dyDescent="0.25">
      <c r="A144">
        <v>6266</v>
      </c>
      <c r="B144">
        <v>1</v>
      </c>
      <c r="C144">
        <v>2</v>
      </c>
      <c r="D144">
        <v>12</v>
      </c>
      <c r="E144">
        <v>4</v>
      </c>
      <c r="F144">
        <v>4</v>
      </c>
      <c r="G144">
        <v>3</v>
      </c>
      <c r="H144">
        <v>100000</v>
      </c>
      <c r="I144">
        <v>8796.6666666666661</v>
      </c>
      <c r="J144">
        <v>2513.3333333333335</v>
      </c>
      <c r="K144">
        <v>0</v>
      </c>
      <c r="L144">
        <v>1440</v>
      </c>
      <c r="M144">
        <v>37520</v>
      </c>
      <c r="N144" s="1">
        <f t="shared" si="7"/>
        <v>7035</v>
      </c>
      <c r="O144" t="s">
        <v>35</v>
      </c>
      <c r="P144">
        <v>3500</v>
      </c>
      <c r="Q144">
        <v>5000</v>
      </c>
      <c r="R144">
        <v>400</v>
      </c>
      <c r="S144">
        <v>1844.5</v>
      </c>
      <c r="T144" s="8"/>
      <c r="U144" s="7">
        <v>469000</v>
      </c>
      <c r="V144" s="9">
        <v>176724.01403898929</v>
      </c>
      <c r="W144" s="14">
        <v>0.49699601261717241</v>
      </c>
      <c r="X144" s="14">
        <v>0.18449212314614322</v>
      </c>
      <c r="Y144" s="14">
        <v>0.65453338532958993</v>
      </c>
      <c r="Z144" s="15">
        <v>46691</v>
      </c>
      <c r="AA144" s="10">
        <v>296478</v>
      </c>
      <c r="AB144">
        <v>119753.98596101045</v>
      </c>
      <c r="AC144" s="10">
        <v>1.2918154203981973</v>
      </c>
      <c r="AD144" s="14">
        <v>0.23979853987693781</v>
      </c>
      <c r="AE144" s="14">
        <f t="shared" si="9"/>
        <v>0</v>
      </c>
      <c r="AF144" s="14">
        <f t="shared" si="8"/>
        <v>0.5</v>
      </c>
      <c r="AG144" s="14">
        <f t="shared" si="10"/>
        <v>0.5</v>
      </c>
      <c r="AH144" s="14">
        <f t="shared" si="11"/>
        <v>0</v>
      </c>
      <c r="AI144" s="6">
        <v>45939</v>
      </c>
      <c r="AJ144">
        <v>212979.49842071484</v>
      </c>
    </row>
    <row r="145" spans="1:36" ht="15.75" x14ac:dyDescent="0.25">
      <c r="A145">
        <v>6267</v>
      </c>
      <c r="B145">
        <v>1</v>
      </c>
      <c r="C145">
        <v>2</v>
      </c>
      <c r="D145">
        <v>12</v>
      </c>
      <c r="E145">
        <v>4</v>
      </c>
      <c r="F145">
        <v>4</v>
      </c>
      <c r="G145">
        <v>3</v>
      </c>
      <c r="H145">
        <v>35000</v>
      </c>
      <c r="I145">
        <v>9100</v>
      </c>
      <c r="J145">
        <v>2600</v>
      </c>
      <c r="K145">
        <v>0</v>
      </c>
      <c r="L145">
        <v>1440</v>
      </c>
      <c r="M145">
        <v>32080</v>
      </c>
      <c r="N145" s="1">
        <f t="shared" si="7"/>
        <v>6015</v>
      </c>
      <c r="O145" t="s">
        <v>35</v>
      </c>
      <c r="P145">
        <v>3500</v>
      </c>
      <c r="Q145">
        <v>5000</v>
      </c>
      <c r="R145">
        <v>400</v>
      </c>
      <c r="S145">
        <v>1844.5</v>
      </c>
      <c r="T145" s="8"/>
      <c r="U145" s="7">
        <v>401000</v>
      </c>
      <c r="V145" s="9">
        <v>181083.67392842352</v>
      </c>
      <c r="W145" s="14">
        <v>0.84758949944800399</v>
      </c>
      <c r="X145" s="14">
        <v>0.36182724471990013</v>
      </c>
      <c r="Y145" s="14">
        <v>0.48288979714246272</v>
      </c>
      <c r="Z145" s="15">
        <v>46691</v>
      </c>
      <c r="AA145" s="10">
        <v>300235.5</v>
      </c>
      <c r="AB145">
        <v>119151.82607157639</v>
      </c>
      <c r="AC145" s="10">
        <v>1.3565317096475595</v>
      </c>
      <c r="AD145" s="14">
        <v>0.24162475466728206</v>
      </c>
      <c r="AE145" s="14">
        <f t="shared" si="9"/>
        <v>0</v>
      </c>
      <c r="AF145" s="14">
        <f t="shared" si="8"/>
        <v>0.5</v>
      </c>
      <c r="AG145" s="14">
        <f t="shared" si="10"/>
        <v>0.5</v>
      </c>
      <c r="AH145" s="14">
        <f t="shared" si="11"/>
        <v>0</v>
      </c>
      <c r="AI145" s="6">
        <v>45939</v>
      </c>
      <c r="AJ145">
        <v>217719.03956907181</v>
      </c>
    </row>
    <row r="146" spans="1:36" ht="15.75" x14ac:dyDescent="0.25">
      <c r="A146">
        <v>6268</v>
      </c>
      <c r="B146">
        <v>1</v>
      </c>
      <c r="C146">
        <v>2</v>
      </c>
      <c r="D146">
        <v>12</v>
      </c>
      <c r="E146">
        <v>4</v>
      </c>
      <c r="F146">
        <v>4</v>
      </c>
      <c r="G146">
        <v>3</v>
      </c>
      <c r="H146">
        <v>10000</v>
      </c>
      <c r="I146">
        <v>7431.6666666666661</v>
      </c>
      <c r="J146">
        <v>2123.3333333333335</v>
      </c>
      <c r="K146">
        <v>0</v>
      </c>
      <c r="L146">
        <v>1440</v>
      </c>
      <c r="M146">
        <v>25000</v>
      </c>
      <c r="N146" s="1">
        <f t="shared" si="7"/>
        <v>4687.5</v>
      </c>
      <c r="O146" t="s">
        <v>35</v>
      </c>
      <c r="P146">
        <v>3500</v>
      </c>
      <c r="Q146">
        <v>5000</v>
      </c>
      <c r="R146">
        <v>400</v>
      </c>
      <c r="S146">
        <v>1844.5</v>
      </c>
      <c r="T146" s="8"/>
      <c r="U146" s="7">
        <v>312500</v>
      </c>
      <c r="V146" s="9">
        <v>164376.95999999999</v>
      </c>
      <c r="W146" s="14">
        <v>0.49749811747443756</v>
      </c>
      <c r="X146" s="14">
        <v>0.19441765701692415</v>
      </c>
      <c r="Y146" s="14">
        <v>0.69947642553191491</v>
      </c>
      <c r="Z146" s="15">
        <v>46691</v>
      </c>
      <c r="AA146" s="10">
        <v>248131.75</v>
      </c>
      <c r="AB146">
        <v>83754.789999999979</v>
      </c>
      <c r="AC146" s="10">
        <v>1.42846960313803</v>
      </c>
      <c r="AD146" s="14">
        <v>0.19391892552375795</v>
      </c>
      <c r="AE146" s="14">
        <f t="shared" si="9"/>
        <v>0</v>
      </c>
      <c r="AF146" s="14">
        <f t="shared" si="8"/>
        <v>0.5</v>
      </c>
      <c r="AG146" s="14">
        <f t="shared" si="10"/>
        <v>0.5</v>
      </c>
      <c r="AH146" s="14">
        <f t="shared" si="11"/>
        <v>0</v>
      </c>
      <c r="AI146" s="6">
        <v>45939</v>
      </c>
      <c r="AJ146">
        <v>180120.04489558356</v>
      </c>
    </row>
    <row r="147" spans="1:36" ht="15.75" x14ac:dyDescent="0.25">
      <c r="A147">
        <v>6269</v>
      </c>
      <c r="B147">
        <v>1</v>
      </c>
      <c r="C147">
        <v>2</v>
      </c>
      <c r="D147">
        <v>12</v>
      </c>
      <c r="E147">
        <v>4</v>
      </c>
      <c r="F147">
        <v>4</v>
      </c>
      <c r="G147">
        <v>3</v>
      </c>
      <c r="H147">
        <v>200000</v>
      </c>
      <c r="I147">
        <v>10616.666666666666</v>
      </c>
      <c r="J147">
        <v>3033.3333333333335</v>
      </c>
      <c r="K147">
        <v>0</v>
      </c>
      <c r="L147">
        <v>1440</v>
      </c>
      <c r="M147">
        <v>57960</v>
      </c>
      <c r="N147" s="1">
        <f t="shared" si="7"/>
        <v>10867.5</v>
      </c>
      <c r="O147" t="s">
        <v>35</v>
      </c>
      <c r="P147">
        <v>3500</v>
      </c>
      <c r="Q147">
        <v>5000</v>
      </c>
      <c r="R147">
        <v>400</v>
      </c>
      <c r="S147">
        <v>1844.5</v>
      </c>
      <c r="T147" s="8"/>
      <c r="U147" s="7">
        <v>724500</v>
      </c>
      <c r="V147" s="9">
        <v>273774.446</v>
      </c>
      <c r="W147" s="14">
        <v>1.3080794344938151</v>
      </c>
      <c r="X147" s="14">
        <v>0.52239587538165122</v>
      </c>
      <c r="Y147" s="14">
        <v>1.095097784</v>
      </c>
      <c r="Z147" s="15">
        <v>46691</v>
      </c>
      <c r="AA147" s="10">
        <v>422855.5</v>
      </c>
      <c r="AB147">
        <v>149081.05400000059</v>
      </c>
      <c r="AC147" s="10">
        <v>1.2286279139543004</v>
      </c>
      <c r="AD147" s="14">
        <v>0.19753667712211614</v>
      </c>
      <c r="AE147" s="14">
        <f t="shared" si="9"/>
        <v>0</v>
      </c>
      <c r="AF147" s="14">
        <f t="shared" si="8"/>
        <v>0.5</v>
      </c>
      <c r="AG147" s="14">
        <f t="shared" si="10"/>
        <v>0.5</v>
      </c>
      <c r="AH147" s="14">
        <f t="shared" si="11"/>
        <v>0</v>
      </c>
      <c r="AI147" s="6">
        <v>45939</v>
      </c>
      <c r="AJ147">
        <v>303296.02438519965</v>
      </c>
    </row>
    <row r="148" spans="1:36" ht="15.75" x14ac:dyDescent="0.25">
      <c r="A148">
        <v>6270</v>
      </c>
      <c r="B148">
        <v>1</v>
      </c>
      <c r="C148">
        <v>2</v>
      </c>
      <c r="D148">
        <v>12</v>
      </c>
      <c r="E148">
        <v>4</v>
      </c>
      <c r="F148">
        <v>4</v>
      </c>
      <c r="G148">
        <v>3</v>
      </c>
      <c r="H148">
        <v>250000</v>
      </c>
      <c r="I148">
        <v>18958.333333333332</v>
      </c>
      <c r="J148">
        <v>5416.666666666667</v>
      </c>
      <c r="K148">
        <v>0</v>
      </c>
      <c r="L148">
        <v>1440</v>
      </c>
      <c r="M148">
        <v>100120</v>
      </c>
      <c r="N148" s="1">
        <f t="shared" si="7"/>
        <v>18772.5</v>
      </c>
      <c r="O148" t="s">
        <v>35</v>
      </c>
      <c r="P148">
        <v>3500</v>
      </c>
      <c r="Q148">
        <v>5000</v>
      </c>
      <c r="R148">
        <v>400</v>
      </c>
      <c r="S148">
        <v>1844.5</v>
      </c>
      <c r="T148" s="8"/>
      <c r="U148" s="7">
        <v>1251500</v>
      </c>
      <c r="V148" s="9">
        <v>505322.54246850999</v>
      </c>
      <c r="W148" s="14">
        <v>0.75553576072995698</v>
      </c>
      <c r="X148" s="14">
        <v>0.40904221793447154</v>
      </c>
      <c r="Y148" s="14">
        <v>0.722922092229628</v>
      </c>
      <c r="Z148" s="15">
        <v>46691</v>
      </c>
      <c r="AA148" s="10">
        <v>834001.75</v>
      </c>
      <c r="AB148">
        <v>328679.20753148955</v>
      </c>
      <c r="AC148" s="10">
        <v>1.3043258854498965</v>
      </c>
      <c r="AD148" s="14">
        <v>0.24024367928504944</v>
      </c>
      <c r="AE148" s="14">
        <f t="shared" si="9"/>
        <v>0</v>
      </c>
      <c r="AF148" s="14">
        <f t="shared" si="8"/>
        <v>0.5</v>
      </c>
      <c r="AG148" s="14">
        <f t="shared" si="10"/>
        <v>0.5</v>
      </c>
      <c r="AH148" s="14">
        <f t="shared" si="11"/>
        <v>0</v>
      </c>
      <c r="AI148" s="6">
        <v>45939</v>
      </c>
      <c r="AJ148">
        <v>605235.25956528564</v>
      </c>
    </row>
    <row r="149" spans="1:36" ht="15.75" x14ac:dyDescent="0.25">
      <c r="A149">
        <v>6271</v>
      </c>
      <c r="B149">
        <v>1</v>
      </c>
      <c r="C149">
        <v>2</v>
      </c>
      <c r="D149">
        <v>8</v>
      </c>
      <c r="E149">
        <v>4</v>
      </c>
      <c r="F149">
        <v>4</v>
      </c>
      <c r="G149">
        <v>3</v>
      </c>
      <c r="H149">
        <v>150000</v>
      </c>
      <c r="I149">
        <v>4081</v>
      </c>
      <c r="J149">
        <v>8066.666666666667</v>
      </c>
      <c r="K149">
        <v>0</v>
      </c>
      <c r="L149">
        <v>1600</v>
      </c>
      <c r="M149">
        <v>53280</v>
      </c>
      <c r="N149" s="1">
        <f t="shared" si="7"/>
        <v>9990</v>
      </c>
      <c r="O149" t="s">
        <v>35</v>
      </c>
      <c r="P149">
        <v>1300</v>
      </c>
      <c r="Q149">
        <v>3750</v>
      </c>
      <c r="R149">
        <v>400</v>
      </c>
      <c r="S149">
        <v>1439.5</v>
      </c>
      <c r="T149" s="8"/>
      <c r="U149" s="7">
        <v>666000</v>
      </c>
      <c r="V149" s="9">
        <v>340570.505</v>
      </c>
      <c r="W149" s="14">
        <v>1.5683667973322377</v>
      </c>
      <c r="X149" s="14">
        <v>0.72698812343056174</v>
      </c>
      <c r="Y149" s="14">
        <v>0.72461809574468083</v>
      </c>
      <c r="Z149" s="15">
        <v>46568</v>
      </c>
      <c r="AA149" s="10">
        <v>425985</v>
      </c>
      <c r="AB149">
        <v>85414.495000000054</v>
      </c>
      <c r="AC149" s="10">
        <v>1.2830353386392401</v>
      </c>
      <c r="AD149" s="14">
        <v>0.11906151175498964</v>
      </c>
      <c r="AE149" s="14">
        <f t="shared" si="9"/>
        <v>0</v>
      </c>
      <c r="AF149" s="14">
        <f t="shared" si="8"/>
        <v>0.5</v>
      </c>
      <c r="AG149" s="14">
        <f t="shared" si="10"/>
        <v>0.5</v>
      </c>
      <c r="AH149" s="14">
        <f t="shared" si="11"/>
        <v>0</v>
      </c>
      <c r="AI149" s="6">
        <v>45939</v>
      </c>
      <c r="AJ149">
        <v>323290.60064710863</v>
      </c>
    </row>
    <row r="150" spans="1:36" ht="15.75" x14ac:dyDescent="0.25">
      <c r="A150">
        <v>6272</v>
      </c>
      <c r="B150">
        <v>1</v>
      </c>
      <c r="C150">
        <v>2</v>
      </c>
      <c r="D150">
        <v>5</v>
      </c>
      <c r="E150" t="s">
        <v>35</v>
      </c>
      <c r="F150">
        <v>4</v>
      </c>
      <c r="G150">
        <v>3</v>
      </c>
      <c r="H150" t="s">
        <v>35</v>
      </c>
      <c r="I150">
        <v>4068.7499999999991</v>
      </c>
      <c r="J150">
        <v>1750</v>
      </c>
      <c r="K150">
        <v>0</v>
      </c>
      <c r="L150">
        <v>720</v>
      </c>
      <c r="M150">
        <v>28120</v>
      </c>
      <c r="N150" s="1">
        <f t="shared" si="7"/>
        <v>5272.5</v>
      </c>
      <c r="O150">
        <v>2640</v>
      </c>
      <c r="P150">
        <v>1500</v>
      </c>
      <c r="Q150">
        <v>3750</v>
      </c>
      <c r="R150">
        <v>400</v>
      </c>
      <c r="S150">
        <v>998.5</v>
      </c>
      <c r="T150" s="8"/>
      <c r="U150" s="7">
        <v>351500</v>
      </c>
      <c r="V150" s="9">
        <v>227218.98756754445</v>
      </c>
      <c r="W150" s="14">
        <v>1.4502785748983276</v>
      </c>
      <c r="X150" s="14">
        <v>0.64235636080104885</v>
      </c>
      <c r="Y150" s="14">
        <v>0.75739662522514817</v>
      </c>
      <c r="Z150" s="15">
        <v>46356</v>
      </c>
      <c r="AA150" s="10">
        <v>298962.95833333331</v>
      </c>
      <c r="AB150">
        <v>71743.970765788923</v>
      </c>
      <c r="AC150" s="10">
        <v>1.2704266883571356</v>
      </c>
      <c r="AD150" s="14">
        <v>0.23740302920341491</v>
      </c>
      <c r="AE150" s="14">
        <f t="shared" si="9"/>
        <v>0.5</v>
      </c>
      <c r="AF150" s="14">
        <f t="shared" si="8"/>
        <v>0</v>
      </c>
      <c r="AG150" s="14">
        <f t="shared" si="10"/>
        <v>0</v>
      </c>
      <c r="AH150" s="14">
        <f t="shared" si="11"/>
        <v>0.5</v>
      </c>
      <c r="AI150" s="6">
        <v>45939</v>
      </c>
      <c r="AJ150">
        <v>250215.82555626886</v>
      </c>
    </row>
    <row r="151" spans="1:36" ht="15.75" x14ac:dyDescent="0.25">
      <c r="A151">
        <v>6273</v>
      </c>
      <c r="B151">
        <v>1</v>
      </c>
      <c r="C151">
        <v>2</v>
      </c>
      <c r="D151">
        <v>5</v>
      </c>
      <c r="E151" t="s">
        <v>35</v>
      </c>
      <c r="F151">
        <v>4</v>
      </c>
      <c r="G151">
        <v>3</v>
      </c>
      <c r="H151" t="s">
        <v>35</v>
      </c>
      <c r="I151">
        <v>3487.4999999999995</v>
      </c>
      <c r="J151">
        <v>1500</v>
      </c>
      <c r="K151">
        <v>0</v>
      </c>
      <c r="L151">
        <v>720</v>
      </c>
      <c r="M151">
        <v>24120</v>
      </c>
      <c r="N151" s="1">
        <f t="shared" si="7"/>
        <v>4522.5</v>
      </c>
      <c r="O151">
        <v>2265</v>
      </c>
      <c r="P151">
        <v>1500</v>
      </c>
      <c r="Q151">
        <v>3750</v>
      </c>
      <c r="R151">
        <v>400</v>
      </c>
      <c r="S151">
        <v>998.5</v>
      </c>
      <c r="T151" s="8"/>
      <c r="U151" s="7">
        <v>301500</v>
      </c>
      <c r="V151" s="9">
        <v>193926.86638810337</v>
      </c>
      <c r="W151" s="14">
        <v>1.8539837431124904</v>
      </c>
      <c r="X151" s="14">
        <v>0.79218539712382741</v>
      </c>
      <c r="Y151" s="14">
        <v>0.79153823015552394</v>
      </c>
      <c r="Z151" s="15">
        <v>46356</v>
      </c>
      <c r="AA151" s="10">
        <v>255391.5</v>
      </c>
      <c r="AB151">
        <v>61464.63361189657</v>
      </c>
      <c r="AC151" s="10">
        <v>1.3047206939913585</v>
      </c>
      <c r="AD151" s="14">
        <v>0.23736725449562074</v>
      </c>
      <c r="AE151" s="14">
        <f t="shared" si="9"/>
        <v>0.5</v>
      </c>
      <c r="AF151" s="14">
        <f t="shared" si="8"/>
        <v>0</v>
      </c>
      <c r="AG151" s="14">
        <f t="shared" si="10"/>
        <v>0</v>
      </c>
      <c r="AH151" s="14">
        <f t="shared" si="11"/>
        <v>0.5</v>
      </c>
      <c r="AI151" s="6">
        <v>45939</v>
      </c>
      <c r="AJ151">
        <v>213622.95038279158</v>
      </c>
    </row>
    <row r="152" spans="1:36" ht="15.75" x14ac:dyDescent="0.25">
      <c r="A152">
        <v>6274</v>
      </c>
      <c r="B152">
        <v>1</v>
      </c>
      <c r="C152">
        <v>2</v>
      </c>
      <c r="D152">
        <v>5</v>
      </c>
      <c r="E152" t="s">
        <v>35</v>
      </c>
      <c r="F152">
        <v>4</v>
      </c>
      <c r="G152">
        <v>3</v>
      </c>
      <c r="H152" t="s">
        <v>35</v>
      </c>
      <c r="I152">
        <v>4068.7499999999991</v>
      </c>
      <c r="J152">
        <v>1750</v>
      </c>
      <c r="K152">
        <v>0</v>
      </c>
      <c r="L152">
        <v>720</v>
      </c>
      <c r="M152">
        <v>28120</v>
      </c>
      <c r="N152" s="1">
        <f t="shared" si="7"/>
        <v>5272.5</v>
      </c>
      <c r="O152">
        <v>2640</v>
      </c>
      <c r="P152">
        <v>1500</v>
      </c>
      <c r="Q152">
        <v>3750</v>
      </c>
      <c r="R152">
        <v>400</v>
      </c>
      <c r="S152">
        <v>998.5</v>
      </c>
      <c r="T152" s="8"/>
      <c r="U152" s="7">
        <v>351500</v>
      </c>
      <c r="V152" s="9">
        <v>227218.98756754445</v>
      </c>
      <c r="W152" s="14">
        <v>1.4318319525640975</v>
      </c>
      <c r="X152" s="14">
        <v>0.74665428601595085</v>
      </c>
      <c r="Y152" s="14">
        <v>0.85743014176431864</v>
      </c>
      <c r="Z152" s="15">
        <v>46356</v>
      </c>
      <c r="AA152" s="10">
        <v>298962.95833333331</v>
      </c>
      <c r="AB152">
        <v>71743.970765788923</v>
      </c>
      <c r="AC152" s="10">
        <v>1.3091975961302231</v>
      </c>
      <c r="AD152" s="14">
        <v>0.23740302920341491</v>
      </c>
      <c r="AE152" s="14">
        <f t="shared" si="9"/>
        <v>0.5</v>
      </c>
      <c r="AF152" s="14">
        <f t="shared" si="8"/>
        <v>0</v>
      </c>
      <c r="AG152" s="14">
        <f t="shared" si="10"/>
        <v>0</v>
      </c>
      <c r="AH152" s="14">
        <f t="shared" si="11"/>
        <v>0.5</v>
      </c>
      <c r="AI152" s="6">
        <v>45939</v>
      </c>
      <c r="AJ152">
        <v>250215.82555626886</v>
      </c>
    </row>
    <row r="153" spans="1:36" ht="15.75" x14ac:dyDescent="0.25">
      <c r="A153">
        <v>6275</v>
      </c>
      <c r="B153">
        <v>1</v>
      </c>
      <c r="C153">
        <v>2</v>
      </c>
      <c r="D153">
        <v>5</v>
      </c>
      <c r="E153" t="s">
        <v>35</v>
      </c>
      <c r="F153">
        <v>4</v>
      </c>
      <c r="G153">
        <v>3</v>
      </c>
      <c r="H153" t="s">
        <v>35</v>
      </c>
      <c r="I153">
        <v>4998.7499999999991</v>
      </c>
      <c r="J153">
        <v>2150</v>
      </c>
      <c r="K153">
        <v>0</v>
      </c>
      <c r="L153">
        <v>720</v>
      </c>
      <c r="M153">
        <v>34560</v>
      </c>
      <c r="N153" s="1">
        <f t="shared" si="7"/>
        <v>6480</v>
      </c>
      <c r="O153">
        <v>3247.5</v>
      </c>
      <c r="P153">
        <v>1500</v>
      </c>
      <c r="Q153">
        <v>3750</v>
      </c>
      <c r="R153">
        <v>400</v>
      </c>
      <c r="S153">
        <v>998.5</v>
      </c>
      <c r="T153" s="8"/>
      <c r="U153" s="7">
        <v>432000</v>
      </c>
      <c r="V153" s="9">
        <v>280826.2226548841</v>
      </c>
      <c r="W153" s="14">
        <v>1.3545616084924439</v>
      </c>
      <c r="X153" s="14">
        <v>0.43761931555886557</v>
      </c>
      <c r="Y153" s="14">
        <v>0.72941876014255613</v>
      </c>
      <c r="Z153" s="15">
        <v>46356</v>
      </c>
      <c r="AA153" s="10">
        <v>369121.04166666669</v>
      </c>
      <c r="AB153">
        <v>88294.819011782762</v>
      </c>
      <c r="AC153" s="10">
        <v>1.3133473563213143</v>
      </c>
      <c r="AD153" s="14">
        <v>0.23744339346885676</v>
      </c>
      <c r="AE153" s="14">
        <f t="shared" si="9"/>
        <v>0.5</v>
      </c>
      <c r="AF153" s="14">
        <f t="shared" si="8"/>
        <v>0</v>
      </c>
      <c r="AG153" s="14">
        <f t="shared" si="10"/>
        <v>0</v>
      </c>
      <c r="AH153" s="14">
        <f t="shared" si="11"/>
        <v>0.5</v>
      </c>
      <c r="AI153" s="6">
        <v>45939</v>
      </c>
      <c r="AJ153">
        <v>309137.69155127322</v>
      </c>
    </row>
    <row r="154" spans="1:36" ht="15.75" x14ac:dyDescent="0.25">
      <c r="A154">
        <v>6276</v>
      </c>
      <c r="B154">
        <v>1</v>
      </c>
      <c r="C154">
        <v>2</v>
      </c>
      <c r="D154">
        <v>5</v>
      </c>
      <c r="E154" t="s">
        <v>35</v>
      </c>
      <c r="F154">
        <v>4</v>
      </c>
      <c r="G154">
        <v>3</v>
      </c>
      <c r="H154" t="s">
        <v>35</v>
      </c>
      <c r="I154">
        <v>4068.7499999999991</v>
      </c>
      <c r="J154">
        <v>1750</v>
      </c>
      <c r="K154">
        <v>0</v>
      </c>
      <c r="L154">
        <v>720</v>
      </c>
      <c r="M154">
        <v>28120</v>
      </c>
      <c r="N154" s="1">
        <f t="shared" si="7"/>
        <v>5272.5</v>
      </c>
      <c r="O154">
        <v>2640</v>
      </c>
      <c r="P154">
        <v>1500</v>
      </c>
      <c r="Q154">
        <v>3750</v>
      </c>
      <c r="R154">
        <v>400</v>
      </c>
      <c r="S154">
        <v>998.5</v>
      </c>
      <c r="T154" s="8"/>
      <c r="U154" s="7">
        <v>351500</v>
      </c>
      <c r="V154" s="9">
        <v>227218.99262866055</v>
      </c>
      <c r="W154" s="14">
        <v>2.2364331619631894</v>
      </c>
      <c r="X154" s="14">
        <v>0.84220618756551135</v>
      </c>
      <c r="Y154" s="14">
        <v>0.60591731367642809</v>
      </c>
      <c r="Z154" s="15">
        <v>46356</v>
      </c>
      <c r="AA154" s="10">
        <v>298962.95833333331</v>
      </c>
      <c r="AB154">
        <v>71743.965704672824</v>
      </c>
      <c r="AC154" s="10">
        <v>1.3200523910704782</v>
      </c>
      <c r="AD154" s="14">
        <v>0.23740301728248597</v>
      </c>
      <c r="AE154" s="14">
        <f t="shared" si="9"/>
        <v>0.5</v>
      </c>
      <c r="AF154" s="14">
        <f t="shared" si="8"/>
        <v>0</v>
      </c>
      <c r="AG154" s="14">
        <f t="shared" si="10"/>
        <v>0</v>
      </c>
      <c r="AH154" s="14">
        <f t="shared" si="11"/>
        <v>0.5</v>
      </c>
      <c r="AI154" s="6">
        <v>45939</v>
      </c>
      <c r="AJ154">
        <v>250215.82555626886</v>
      </c>
    </row>
    <row r="155" spans="1:36" ht="15.75" x14ac:dyDescent="0.25">
      <c r="A155">
        <v>6277</v>
      </c>
      <c r="B155">
        <v>1</v>
      </c>
      <c r="C155">
        <v>2</v>
      </c>
      <c r="D155">
        <v>5</v>
      </c>
      <c r="E155" t="s">
        <v>35</v>
      </c>
      <c r="F155">
        <v>4</v>
      </c>
      <c r="G155">
        <v>3</v>
      </c>
      <c r="H155" t="s">
        <v>35</v>
      </c>
      <c r="I155">
        <v>7556.2499999999991</v>
      </c>
      <c r="J155">
        <v>3250</v>
      </c>
      <c r="K155">
        <v>0</v>
      </c>
      <c r="L155">
        <v>720</v>
      </c>
      <c r="M155">
        <v>52240</v>
      </c>
      <c r="N155" s="1">
        <f t="shared" si="7"/>
        <v>9795</v>
      </c>
      <c r="O155">
        <v>4905</v>
      </c>
      <c r="P155">
        <v>1500</v>
      </c>
      <c r="Q155">
        <v>3750</v>
      </c>
      <c r="R155">
        <v>400</v>
      </c>
      <c r="S155">
        <v>998.5</v>
      </c>
      <c r="T155" s="8"/>
      <c r="U155" s="7">
        <v>653000</v>
      </c>
      <c r="V155" s="9">
        <v>427991.23733312404</v>
      </c>
      <c r="W155" s="14">
        <v>2.0207171054897493</v>
      </c>
      <c r="X155" s="14">
        <v>0.79237353248097997</v>
      </c>
      <c r="Y155" s="14">
        <v>0.95109163851805345</v>
      </c>
      <c r="Z155" s="15">
        <v>46356</v>
      </c>
      <c r="AA155" s="10">
        <v>561722.95833333337</v>
      </c>
      <c r="AB155">
        <v>133731.7210002091</v>
      </c>
      <c r="AC155" s="10">
        <v>1.3140612123487565</v>
      </c>
      <c r="AD155" s="14">
        <v>0.2375027358531952</v>
      </c>
      <c r="AE155" s="14">
        <f t="shared" si="9"/>
        <v>0.5</v>
      </c>
      <c r="AF155" s="14">
        <f t="shared" si="8"/>
        <v>0</v>
      </c>
      <c r="AG155" s="14">
        <f t="shared" si="10"/>
        <v>0</v>
      </c>
      <c r="AH155" s="14">
        <f t="shared" si="11"/>
        <v>0.5</v>
      </c>
      <c r="AI155" s="6">
        <v>45939</v>
      </c>
      <c r="AJ155">
        <v>470892.87374945462</v>
      </c>
    </row>
    <row r="156" spans="1:36" ht="15.75" x14ac:dyDescent="0.25">
      <c r="A156">
        <v>6278</v>
      </c>
      <c r="B156">
        <v>1</v>
      </c>
      <c r="C156">
        <v>2</v>
      </c>
      <c r="D156">
        <v>5</v>
      </c>
      <c r="E156" t="s">
        <v>35</v>
      </c>
      <c r="F156">
        <v>4</v>
      </c>
      <c r="G156">
        <v>3</v>
      </c>
      <c r="H156" t="s">
        <v>35</v>
      </c>
      <c r="I156">
        <v>4068.7499999999991</v>
      </c>
      <c r="J156">
        <v>1750</v>
      </c>
      <c r="K156">
        <v>0</v>
      </c>
      <c r="L156">
        <v>720</v>
      </c>
      <c r="M156">
        <v>28120</v>
      </c>
      <c r="N156" s="1">
        <f t="shared" si="7"/>
        <v>5272.5</v>
      </c>
      <c r="O156">
        <v>2640</v>
      </c>
      <c r="P156">
        <v>1500</v>
      </c>
      <c r="Q156">
        <v>3750</v>
      </c>
      <c r="R156">
        <v>400</v>
      </c>
      <c r="S156">
        <v>998.5</v>
      </c>
      <c r="T156" s="8"/>
      <c r="U156" s="7">
        <v>351500</v>
      </c>
      <c r="V156" s="9">
        <v>227218.98756754439</v>
      </c>
      <c r="W156" s="14">
        <v>1.9098959779333355</v>
      </c>
      <c r="X156" s="14">
        <v>0.80487123036406494</v>
      </c>
      <c r="Y156" s="14">
        <v>1.0098621669668639</v>
      </c>
      <c r="Z156" s="15">
        <v>46356</v>
      </c>
      <c r="AA156" s="10">
        <v>298962.95833333331</v>
      </c>
      <c r="AB156">
        <v>71743.970765788981</v>
      </c>
      <c r="AC156" s="10">
        <v>1.2743769783459247</v>
      </c>
      <c r="AD156" s="14">
        <v>0.23740302920341491</v>
      </c>
      <c r="AE156" s="14">
        <f t="shared" si="9"/>
        <v>0.5</v>
      </c>
      <c r="AF156" s="14">
        <f t="shared" si="8"/>
        <v>0</v>
      </c>
      <c r="AG156" s="14">
        <f t="shared" si="10"/>
        <v>0</v>
      </c>
      <c r="AH156" s="14">
        <f t="shared" si="11"/>
        <v>0.5</v>
      </c>
      <c r="AI156" s="6">
        <v>45939</v>
      </c>
      <c r="AJ156">
        <v>250215.82555626886</v>
      </c>
    </row>
    <row r="157" spans="1:36" ht="15.75" x14ac:dyDescent="0.25">
      <c r="A157">
        <v>6279</v>
      </c>
      <c r="B157">
        <v>1</v>
      </c>
      <c r="C157">
        <v>2</v>
      </c>
      <c r="D157">
        <v>5</v>
      </c>
      <c r="E157" t="s">
        <v>35</v>
      </c>
      <c r="F157">
        <v>4</v>
      </c>
      <c r="G157">
        <v>3</v>
      </c>
      <c r="H157" t="s">
        <v>35</v>
      </c>
      <c r="I157">
        <v>4359.3749999999991</v>
      </c>
      <c r="J157">
        <v>1875</v>
      </c>
      <c r="K157">
        <v>0</v>
      </c>
      <c r="L157">
        <v>720</v>
      </c>
      <c r="M157">
        <v>29478</v>
      </c>
      <c r="N157" s="1">
        <f t="shared" si="7"/>
        <v>5527.125</v>
      </c>
      <c r="O157">
        <v>2827.5</v>
      </c>
      <c r="P157">
        <v>1500</v>
      </c>
      <c r="Q157">
        <v>3750</v>
      </c>
      <c r="R157">
        <v>400</v>
      </c>
      <c r="S157">
        <v>1021.2249999999999</v>
      </c>
      <c r="T157" s="8"/>
      <c r="U157" s="7">
        <v>368475</v>
      </c>
      <c r="V157" s="9">
        <v>207857.92717800001</v>
      </c>
      <c r="W157" s="14">
        <v>1.6942399276488924</v>
      </c>
      <c r="X157" s="14">
        <v>0.89595000000000014</v>
      </c>
      <c r="Y157" s="14">
        <v>0.53296904404615386</v>
      </c>
      <c r="Z157" s="15">
        <v>46387</v>
      </c>
      <c r="AA157" s="10">
        <v>318319.82187500002</v>
      </c>
      <c r="AB157">
        <v>110461.89469699992</v>
      </c>
      <c r="AC157" s="10">
        <v>1.2883233307151911</v>
      </c>
      <c r="AD157" s="14">
        <v>0.36329762339591987</v>
      </c>
      <c r="AE157" s="14">
        <f t="shared" si="9"/>
        <v>0.5</v>
      </c>
      <c r="AF157" s="14">
        <f t="shared" si="8"/>
        <v>0</v>
      </c>
      <c r="AG157" s="14">
        <f t="shared" si="10"/>
        <v>0</v>
      </c>
      <c r="AH157" s="14">
        <f t="shared" si="11"/>
        <v>0.5</v>
      </c>
      <c r="AI157" s="6">
        <v>45939</v>
      </c>
      <c r="AJ157">
        <v>263372.88654787588</v>
      </c>
    </row>
    <row r="158" spans="1:36" ht="15.75" x14ac:dyDescent="0.25">
      <c r="A158">
        <v>6280</v>
      </c>
      <c r="B158">
        <v>1</v>
      </c>
      <c r="C158">
        <v>2</v>
      </c>
      <c r="D158">
        <v>6</v>
      </c>
      <c r="E158" t="s">
        <v>35</v>
      </c>
      <c r="F158">
        <v>4</v>
      </c>
      <c r="G158">
        <v>3</v>
      </c>
      <c r="H158" t="s">
        <v>35</v>
      </c>
      <c r="I158">
        <v>7450</v>
      </c>
      <c r="J158">
        <v>3500</v>
      </c>
      <c r="K158">
        <v>0</v>
      </c>
      <c r="L158">
        <v>880</v>
      </c>
      <c r="M158">
        <v>30480</v>
      </c>
      <c r="N158" s="1">
        <f t="shared" si="7"/>
        <v>5715</v>
      </c>
      <c r="O158">
        <v>2872.5</v>
      </c>
      <c r="P158">
        <v>2500</v>
      </c>
      <c r="Q158">
        <v>3750</v>
      </c>
      <c r="R158">
        <v>400</v>
      </c>
      <c r="S158">
        <v>1043.5</v>
      </c>
      <c r="T158" s="8"/>
      <c r="U158" s="7">
        <v>381000</v>
      </c>
      <c r="V158" s="9">
        <v>267889.05</v>
      </c>
      <c r="W158" s="14">
        <v>1.7901463750058886</v>
      </c>
      <c r="X158" s="14">
        <v>0.72099817678779732</v>
      </c>
      <c r="Y158" s="14">
        <v>0.89296349999999991</v>
      </c>
      <c r="Z158" s="15">
        <v>46387</v>
      </c>
      <c r="AA158" s="10">
        <v>319298.375</v>
      </c>
      <c r="AB158">
        <v>51409.32500000007</v>
      </c>
      <c r="AC158" s="10">
        <v>1.2816584043558077</v>
      </c>
      <c r="AD158" s="14">
        <v>0.13506168723106385</v>
      </c>
      <c r="AE158" s="14">
        <f t="shared" si="9"/>
        <v>0.5</v>
      </c>
      <c r="AF158" s="14">
        <f t="shared" si="8"/>
        <v>0</v>
      </c>
      <c r="AG158" s="14">
        <f t="shared" si="10"/>
        <v>0</v>
      </c>
      <c r="AH158" s="14">
        <f t="shared" si="11"/>
        <v>0.5</v>
      </c>
      <c r="AI158" s="6">
        <v>45939</v>
      </c>
      <c r="AJ158">
        <v>263653.68557224097</v>
      </c>
    </row>
    <row r="159" spans="1:36" ht="15.75" x14ac:dyDescent="0.25">
      <c r="A159">
        <v>6281</v>
      </c>
      <c r="B159">
        <v>1</v>
      </c>
      <c r="C159">
        <v>2</v>
      </c>
      <c r="D159">
        <v>6</v>
      </c>
      <c r="E159" t="s">
        <v>35</v>
      </c>
      <c r="F159">
        <v>4</v>
      </c>
      <c r="G159">
        <v>3</v>
      </c>
      <c r="H159" t="s">
        <v>35</v>
      </c>
      <c r="I159">
        <v>6953.333333333333</v>
      </c>
      <c r="J159">
        <v>3266.6666666666665</v>
      </c>
      <c r="K159">
        <v>0</v>
      </c>
      <c r="L159">
        <v>880</v>
      </c>
      <c r="M159">
        <v>28440</v>
      </c>
      <c r="N159" s="1">
        <f t="shared" si="7"/>
        <v>5332.5</v>
      </c>
      <c r="O159">
        <v>2677.5</v>
      </c>
      <c r="P159">
        <v>2500</v>
      </c>
      <c r="Q159">
        <v>3750</v>
      </c>
      <c r="R159">
        <v>400</v>
      </c>
      <c r="S159">
        <v>1043.5</v>
      </c>
      <c r="T159" s="8"/>
      <c r="U159" s="7">
        <v>355500</v>
      </c>
      <c r="V159" s="9">
        <v>204188.00049999999</v>
      </c>
      <c r="W159" s="14">
        <v>1.8127749773700539</v>
      </c>
      <c r="X159" s="14">
        <v>0.9001780954048233</v>
      </c>
      <c r="Y159" s="14">
        <v>0.99603902682926826</v>
      </c>
      <c r="Z159" s="15">
        <v>46387</v>
      </c>
      <c r="AA159" s="10">
        <v>297351.5</v>
      </c>
      <c r="AB159">
        <v>93163.499499999976</v>
      </c>
      <c r="AC159" s="10">
        <v>1.33914323257737</v>
      </c>
      <c r="AD159" s="14">
        <v>0.30990003943443312</v>
      </c>
      <c r="AE159" s="14">
        <f t="shared" si="9"/>
        <v>0.5</v>
      </c>
      <c r="AF159" s="14">
        <f t="shared" si="8"/>
        <v>0</v>
      </c>
      <c r="AG159" s="14">
        <f t="shared" si="10"/>
        <v>0</v>
      </c>
      <c r="AH159" s="14">
        <f t="shared" si="11"/>
        <v>0.5</v>
      </c>
      <c r="AI159" s="6">
        <v>45939</v>
      </c>
      <c r="AJ159">
        <v>245456.61032510031</v>
      </c>
    </row>
    <row r="160" spans="1:36" ht="15.75" x14ac:dyDescent="0.25">
      <c r="A160">
        <v>6282</v>
      </c>
      <c r="B160">
        <v>1</v>
      </c>
      <c r="C160">
        <v>2</v>
      </c>
      <c r="D160">
        <v>6</v>
      </c>
      <c r="E160" t="s">
        <v>35</v>
      </c>
      <c r="F160">
        <v>4</v>
      </c>
      <c r="G160">
        <v>3</v>
      </c>
      <c r="H160" t="s">
        <v>35</v>
      </c>
      <c r="I160">
        <v>11522.666666666666</v>
      </c>
      <c r="J160">
        <v>5413.333333333333</v>
      </c>
      <c r="K160">
        <v>0</v>
      </c>
      <c r="L160">
        <v>880</v>
      </c>
      <c r="M160">
        <v>47160</v>
      </c>
      <c r="N160" s="1">
        <f t="shared" si="7"/>
        <v>8842.5</v>
      </c>
      <c r="O160">
        <v>4440</v>
      </c>
      <c r="P160">
        <v>2500</v>
      </c>
      <c r="Q160">
        <v>3750</v>
      </c>
      <c r="R160">
        <v>400</v>
      </c>
      <c r="S160">
        <v>1043.5</v>
      </c>
      <c r="T160" s="8"/>
      <c r="U160" s="7">
        <v>589500</v>
      </c>
      <c r="V160" s="9">
        <v>418289.19000000006</v>
      </c>
      <c r="W160" s="14">
        <v>1.5234257621049652</v>
      </c>
      <c r="X160" s="14">
        <v>0.84084416744717649</v>
      </c>
      <c r="Y160" s="14">
        <v>1.1459977808219179</v>
      </c>
      <c r="Z160" s="15">
        <v>46387</v>
      </c>
      <c r="AA160" s="10">
        <v>498730.25</v>
      </c>
      <c r="AB160">
        <v>80441.06</v>
      </c>
      <c r="AC160" s="10">
        <v>1.3133152057274953</v>
      </c>
      <c r="AD160" s="14">
        <v>0.13645525574684145</v>
      </c>
      <c r="AE160" s="14">
        <f t="shared" si="9"/>
        <v>0.5</v>
      </c>
      <c r="AF160" s="14">
        <f t="shared" si="8"/>
        <v>0</v>
      </c>
      <c r="AG160" s="14">
        <f t="shared" si="10"/>
        <v>0</v>
      </c>
      <c r="AH160" s="14">
        <f t="shared" si="11"/>
        <v>0.5</v>
      </c>
      <c r="AI160" s="6">
        <v>45939</v>
      </c>
      <c r="AJ160">
        <v>412426.9148268975</v>
      </c>
    </row>
    <row r="161" spans="1:36" ht="15.75" x14ac:dyDescent="0.25">
      <c r="A161">
        <v>6283</v>
      </c>
      <c r="B161">
        <v>1</v>
      </c>
      <c r="C161">
        <v>2</v>
      </c>
      <c r="D161">
        <v>6</v>
      </c>
      <c r="E161" t="s">
        <v>35</v>
      </c>
      <c r="F161">
        <v>4</v>
      </c>
      <c r="G161">
        <v>3</v>
      </c>
      <c r="H161" t="s">
        <v>35</v>
      </c>
      <c r="I161">
        <v>2980</v>
      </c>
      <c r="J161">
        <v>1400</v>
      </c>
      <c r="K161">
        <v>0</v>
      </c>
      <c r="L161">
        <v>880</v>
      </c>
      <c r="M161">
        <v>12160</v>
      </c>
      <c r="N161" s="1">
        <f t="shared" si="7"/>
        <v>2280</v>
      </c>
      <c r="O161">
        <v>1147.5</v>
      </c>
      <c r="P161">
        <v>2500</v>
      </c>
      <c r="Q161">
        <v>3750</v>
      </c>
      <c r="R161">
        <v>400</v>
      </c>
      <c r="S161">
        <v>1043.5</v>
      </c>
      <c r="T161" s="8"/>
      <c r="U161" s="7">
        <v>152000</v>
      </c>
      <c r="V161" s="9">
        <v>89919.640393662383</v>
      </c>
      <c r="W161" s="14">
        <v>1.3868239536803633</v>
      </c>
      <c r="X161" s="14">
        <v>0.59886739811762535</v>
      </c>
      <c r="Y161" s="14">
        <v>0.473261265229802</v>
      </c>
      <c r="Z161" s="15">
        <v>46387</v>
      </c>
      <c r="AA161" s="10">
        <v>122220.25</v>
      </c>
      <c r="AB161">
        <v>32300.609606337632</v>
      </c>
      <c r="AC161" s="10">
        <v>1.2764868175144761</v>
      </c>
      <c r="AD161" s="14">
        <v>0.23770890831947325</v>
      </c>
      <c r="AE161" s="14">
        <f t="shared" si="9"/>
        <v>0.5</v>
      </c>
      <c r="AF161" s="14">
        <f t="shared" si="8"/>
        <v>0</v>
      </c>
      <c r="AG161" s="14">
        <f t="shared" si="10"/>
        <v>0</v>
      </c>
      <c r="AH161" s="14">
        <f t="shared" si="11"/>
        <v>0.5</v>
      </c>
      <c r="AI161" s="6">
        <v>45939</v>
      </c>
      <c r="AJ161">
        <v>100248.99815788907</v>
      </c>
    </row>
    <row r="162" spans="1:36" ht="15.75" x14ac:dyDescent="0.25">
      <c r="A162">
        <v>6284</v>
      </c>
      <c r="B162">
        <v>1</v>
      </c>
      <c r="C162">
        <v>2</v>
      </c>
      <c r="D162">
        <v>6</v>
      </c>
      <c r="E162" t="s">
        <v>35</v>
      </c>
      <c r="F162">
        <v>4</v>
      </c>
      <c r="G162">
        <v>3</v>
      </c>
      <c r="H162" t="s">
        <v>35</v>
      </c>
      <c r="I162">
        <v>4370.666666666667</v>
      </c>
      <c r="J162">
        <v>2053.3333333333335</v>
      </c>
      <c r="K162">
        <v>0</v>
      </c>
      <c r="L162">
        <v>880</v>
      </c>
      <c r="M162">
        <v>17840</v>
      </c>
      <c r="N162" s="1">
        <f t="shared" si="7"/>
        <v>3345</v>
      </c>
      <c r="O162">
        <v>1680</v>
      </c>
      <c r="P162">
        <v>2500</v>
      </c>
      <c r="Q162">
        <v>3750</v>
      </c>
      <c r="R162">
        <v>400</v>
      </c>
      <c r="S162">
        <v>1043.5</v>
      </c>
      <c r="T162" s="8"/>
      <c r="U162" s="7">
        <v>223000</v>
      </c>
      <c r="V162" s="9">
        <v>135635.18465042836</v>
      </c>
      <c r="W162" s="14">
        <v>1.1642657024403096</v>
      </c>
      <c r="X162" s="14">
        <v>0.460588956252304</v>
      </c>
      <c r="Y162" s="14">
        <v>0.61652356659285623</v>
      </c>
      <c r="Z162" s="15">
        <v>46387</v>
      </c>
      <c r="AA162" s="10">
        <v>183316.5</v>
      </c>
      <c r="AB162">
        <v>47681.315349571611</v>
      </c>
      <c r="AC162" s="10">
        <v>1.2746042698334377</v>
      </c>
      <c r="AD162" s="14">
        <v>0.23788806796073914</v>
      </c>
      <c r="AE162" s="14">
        <f t="shared" si="9"/>
        <v>0.5</v>
      </c>
      <c r="AF162" s="14">
        <f t="shared" si="8"/>
        <v>0</v>
      </c>
      <c r="AG162" s="14">
        <f t="shared" si="10"/>
        <v>0</v>
      </c>
      <c r="AH162" s="14">
        <f t="shared" si="11"/>
        <v>0.5</v>
      </c>
      <c r="AI162" s="6">
        <v>45939</v>
      </c>
      <c r="AJ162">
        <v>150905.61700195161</v>
      </c>
    </row>
    <row r="163" spans="1:36" ht="15.75" x14ac:dyDescent="0.25">
      <c r="A163">
        <v>6285</v>
      </c>
      <c r="B163">
        <v>1</v>
      </c>
      <c r="C163">
        <v>2</v>
      </c>
      <c r="D163">
        <v>6</v>
      </c>
      <c r="E163" t="s">
        <v>35</v>
      </c>
      <c r="F163">
        <v>4</v>
      </c>
      <c r="G163">
        <v>3</v>
      </c>
      <c r="H163" t="s">
        <v>35</v>
      </c>
      <c r="I163">
        <v>4072.6666666666665</v>
      </c>
      <c r="J163">
        <v>1913.3333333333333</v>
      </c>
      <c r="K163">
        <v>0</v>
      </c>
      <c r="L163">
        <v>880</v>
      </c>
      <c r="M163">
        <v>16640</v>
      </c>
      <c r="N163" s="1">
        <f t="shared" si="7"/>
        <v>3120</v>
      </c>
      <c r="O163">
        <v>1567.5</v>
      </c>
      <c r="P163">
        <v>2500</v>
      </c>
      <c r="Q163">
        <v>3750</v>
      </c>
      <c r="R163">
        <v>400</v>
      </c>
      <c r="S163">
        <v>1043.5</v>
      </c>
      <c r="T163" s="8"/>
      <c r="U163" s="7">
        <v>208000</v>
      </c>
      <c r="V163" s="9">
        <v>147222.50399999999</v>
      </c>
      <c r="W163" s="14">
        <v>1.9804184312721611</v>
      </c>
      <c r="X163" s="14">
        <v>0.82537880609937941</v>
      </c>
      <c r="Y163" s="14">
        <v>0.65724332142857134</v>
      </c>
      <c r="Z163" s="15">
        <v>46234</v>
      </c>
      <c r="AA163" s="10">
        <v>170414.625</v>
      </c>
      <c r="AB163">
        <v>23192.120999999985</v>
      </c>
      <c r="AC163" s="10">
        <v>1.2165293957573267</v>
      </c>
      <c r="AD163" s="14">
        <v>0.1637514531612396</v>
      </c>
      <c r="AE163" s="14">
        <f t="shared" si="9"/>
        <v>0.5</v>
      </c>
      <c r="AF163" s="14">
        <f t="shared" si="8"/>
        <v>0</v>
      </c>
      <c r="AG163" s="14">
        <f t="shared" si="10"/>
        <v>0</v>
      </c>
      <c r="AH163" s="14">
        <f t="shared" si="11"/>
        <v>0.5</v>
      </c>
      <c r="AI163" s="6">
        <v>45939</v>
      </c>
      <c r="AJ163">
        <v>149107.72059948728</v>
      </c>
    </row>
    <row r="164" spans="1:36" ht="15.75" x14ac:dyDescent="0.25">
      <c r="A164">
        <v>6286</v>
      </c>
      <c r="B164">
        <v>1</v>
      </c>
      <c r="C164">
        <v>2</v>
      </c>
      <c r="D164">
        <v>6</v>
      </c>
      <c r="E164" t="s">
        <v>35</v>
      </c>
      <c r="F164">
        <v>4</v>
      </c>
      <c r="G164">
        <v>3</v>
      </c>
      <c r="H164" t="s">
        <v>35</v>
      </c>
      <c r="I164">
        <v>3973.3333333333335</v>
      </c>
      <c r="J164">
        <v>1866.6666666666667</v>
      </c>
      <c r="K164">
        <v>0</v>
      </c>
      <c r="L164">
        <v>880</v>
      </c>
      <c r="M164">
        <v>16240</v>
      </c>
      <c r="N164" s="1">
        <f t="shared" si="7"/>
        <v>3045</v>
      </c>
      <c r="O164">
        <v>1530</v>
      </c>
      <c r="P164">
        <v>2500</v>
      </c>
      <c r="Q164">
        <v>3750</v>
      </c>
      <c r="R164">
        <v>400</v>
      </c>
      <c r="S164">
        <v>1043.5</v>
      </c>
      <c r="T164" s="8"/>
      <c r="U164" s="7">
        <v>203000</v>
      </c>
      <c r="V164" s="9">
        <v>144526.69</v>
      </c>
      <c r="W164" s="14">
        <v>1.056404815585416</v>
      </c>
      <c r="X164" s="14">
        <v>0.49432479699144849</v>
      </c>
      <c r="Y164" s="14">
        <v>0.76066678947368427</v>
      </c>
      <c r="Z164" s="15">
        <v>46387</v>
      </c>
      <c r="AA164" s="10">
        <v>166114</v>
      </c>
      <c r="AB164">
        <v>21587.309999999969</v>
      </c>
      <c r="AC164" s="10">
        <v>1.2960869129742383</v>
      </c>
      <c r="AD164" s="14">
        <v>0.10362537503242494</v>
      </c>
      <c r="AE164" s="14">
        <f t="shared" si="9"/>
        <v>0.5</v>
      </c>
      <c r="AF164" s="14">
        <f t="shared" si="8"/>
        <v>0</v>
      </c>
      <c r="AG164" s="14">
        <f t="shared" si="10"/>
        <v>0</v>
      </c>
      <c r="AH164" s="14">
        <f t="shared" si="11"/>
        <v>0.5</v>
      </c>
      <c r="AI164" s="6">
        <v>45939</v>
      </c>
      <c r="AJ164">
        <v>136643.14865217044</v>
      </c>
    </row>
    <row r="165" spans="1:36" ht="15.75" x14ac:dyDescent="0.25">
      <c r="A165">
        <v>6287</v>
      </c>
      <c r="B165">
        <v>1</v>
      </c>
      <c r="C165">
        <v>2</v>
      </c>
      <c r="D165">
        <v>3</v>
      </c>
      <c r="E165">
        <v>4</v>
      </c>
      <c r="F165">
        <v>4</v>
      </c>
      <c r="G165">
        <v>3</v>
      </c>
      <c r="H165">
        <v>74000</v>
      </c>
      <c r="I165">
        <v>711.875</v>
      </c>
      <c r="J165">
        <v>4250</v>
      </c>
      <c r="K165">
        <v>0</v>
      </c>
      <c r="L165">
        <v>2000</v>
      </c>
      <c r="M165">
        <v>46360</v>
      </c>
      <c r="N165" s="1">
        <f t="shared" si="7"/>
        <v>8692.5</v>
      </c>
      <c r="O165" t="s">
        <v>35</v>
      </c>
      <c r="P165">
        <v>1025</v>
      </c>
      <c r="Q165">
        <v>3750</v>
      </c>
      <c r="R165">
        <v>400</v>
      </c>
      <c r="S165">
        <v>989.5</v>
      </c>
      <c r="T165" s="8"/>
      <c r="U165" s="7">
        <v>579500</v>
      </c>
      <c r="V165" s="9">
        <v>313780.5697534653</v>
      </c>
      <c r="W165" s="14">
        <v>1.4270504000262019</v>
      </c>
      <c r="X165" s="14">
        <v>0.53347944642055589</v>
      </c>
      <c r="Y165" s="14">
        <v>0.78445142438366322</v>
      </c>
      <c r="Z165" s="15">
        <v>46418</v>
      </c>
      <c r="AA165" s="10">
        <v>431818</v>
      </c>
      <c r="AB165">
        <v>118037.43024653447</v>
      </c>
      <c r="AC165" s="10">
        <v>1.2541352791678759</v>
      </c>
      <c r="AD165" s="14">
        <v>0.2370277941226959</v>
      </c>
      <c r="AE165" s="14">
        <f t="shared" si="9"/>
        <v>0</v>
      </c>
      <c r="AF165" s="14">
        <f t="shared" si="8"/>
        <v>0.5</v>
      </c>
      <c r="AG165" s="14">
        <f t="shared" si="10"/>
        <v>0.5</v>
      </c>
      <c r="AH165" s="14">
        <f t="shared" si="11"/>
        <v>0</v>
      </c>
      <c r="AI165" s="6">
        <v>45939</v>
      </c>
      <c r="AJ165">
        <v>351148.83883193717</v>
      </c>
    </row>
    <row r="166" spans="1:36" ht="15.75" x14ac:dyDescent="0.25">
      <c r="A166">
        <v>6288</v>
      </c>
      <c r="B166">
        <v>1</v>
      </c>
      <c r="C166">
        <v>2</v>
      </c>
      <c r="D166">
        <v>3</v>
      </c>
      <c r="E166" t="s">
        <v>35</v>
      </c>
      <c r="F166">
        <v>4</v>
      </c>
      <c r="G166">
        <v>3</v>
      </c>
      <c r="H166" t="s">
        <v>35</v>
      </c>
      <c r="I166">
        <v>816.5625</v>
      </c>
      <c r="J166">
        <v>4875</v>
      </c>
      <c r="K166">
        <v>0</v>
      </c>
      <c r="L166">
        <v>1000</v>
      </c>
      <c r="M166">
        <v>36200</v>
      </c>
      <c r="N166" s="1">
        <f t="shared" si="7"/>
        <v>6787.5</v>
      </c>
      <c r="O166">
        <v>3397.5</v>
      </c>
      <c r="P166">
        <v>1025</v>
      </c>
      <c r="Q166">
        <v>3750</v>
      </c>
      <c r="R166">
        <v>400</v>
      </c>
      <c r="S166">
        <v>773.5</v>
      </c>
      <c r="T166" s="8"/>
      <c r="U166" s="7">
        <v>452500</v>
      </c>
      <c r="V166" s="9">
        <v>308185.90252046665</v>
      </c>
      <c r="W166" s="14">
        <v>1.6998455205503</v>
      </c>
      <c r="X166" s="14">
        <v>0.73163941451181447</v>
      </c>
      <c r="Y166" s="14">
        <v>0.77239574566532998</v>
      </c>
      <c r="Z166" s="15">
        <v>46295</v>
      </c>
      <c r="AA166" s="10">
        <v>389391.5</v>
      </c>
      <c r="AB166">
        <v>81205.597479533171</v>
      </c>
      <c r="AC166" s="10">
        <v>1.2870302026316383</v>
      </c>
      <c r="AD166" s="14">
        <v>0.23558771014213561</v>
      </c>
      <c r="AE166" s="14">
        <f t="shared" si="9"/>
        <v>0.5</v>
      </c>
      <c r="AF166" s="14">
        <f t="shared" si="8"/>
        <v>0</v>
      </c>
      <c r="AG166" s="14">
        <f t="shared" si="10"/>
        <v>0</v>
      </c>
      <c r="AH166" s="14">
        <f t="shared" si="11"/>
        <v>0.5</v>
      </c>
      <c r="AI166" s="6">
        <v>45939</v>
      </c>
      <c r="AJ166">
        <v>334176.68232432829</v>
      </c>
    </row>
    <row r="167" spans="1:36" ht="15.75" x14ac:dyDescent="0.25">
      <c r="A167">
        <v>6289</v>
      </c>
      <c r="B167">
        <v>1</v>
      </c>
      <c r="C167">
        <v>2</v>
      </c>
      <c r="D167">
        <v>3</v>
      </c>
      <c r="E167" t="s">
        <v>35</v>
      </c>
      <c r="F167">
        <v>4</v>
      </c>
      <c r="G167">
        <v>3</v>
      </c>
      <c r="H167" t="s">
        <v>35</v>
      </c>
      <c r="I167">
        <v>3640</v>
      </c>
      <c r="J167">
        <v>2816.6666666666665</v>
      </c>
      <c r="K167">
        <v>0</v>
      </c>
      <c r="L167">
        <v>880</v>
      </c>
      <c r="M167">
        <v>15640</v>
      </c>
      <c r="N167" s="1">
        <f t="shared" si="7"/>
        <v>2932.5</v>
      </c>
      <c r="O167">
        <v>1462.5</v>
      </c>
      <c r="P167">
        <v>1025</v>
      </c>
      <c r="Q167">
        <v>3750</v>
      </c>
      <c r="R167">
        <v>400</v>
      </c>
      <c r="S167">
        <v>818.5</v>
      </c>
      <c r="T167" s="8"/>
      <c r="U167" s="7">
        <v>195500</v>
      </c>
      <c r="V167" s="9">
        <v>126089.59140604585</v>
      </c>
      <c r="W167" s="14">
        <v>1.4535582250698029</v>
      </c>
      <c r="X167" s="14">
        <v>0.62710582787585623</v>
      </c>
      <c r="Y167" s="14">
        <v>0.6815653589515992</v>
      </c>
      <c r="Z167" s="15">
        <v>46295</v>
      </c>
      <c r="AA167" s="10">
        <v>160424.41666666669</v>
      </c>
      <c r="AB167">
        <v>34334.82526062071</v>
      </c>
      <c r="AC167" s="10">
        <v>1.2383420927764397</v>
      </c>
      <c r="AD167" s="14">
        <v>0.23502113223075868</v>
      </c>
      <c r="AE167" s="14">
        <f t="shared" si="9"/>
        <v>0.5</v>
      </c>
      <c r="AF167" s="14">
        <f t="shared" ref="AF167:AF188" si="12">IF(E167&lt;&gt;"",0.5,0)</f>
        <v>0</v>
      </c>
      <c r="AG167" s="14">
        <f t="shared" si="10"/>
        <v>0</v>
      </c>
      <c r="AH167" s="14">
        <f t="shared" si="11"/>
        <v>0.5</v>
      </c>
      <c r="AI167" s="6">
        <v>45939</v>
      </c>
      <c r="AJ167">
        <v>137027.89831916214</v>
      </c>
    </row>
    <row r="168" spans="1:36" ht="15.75" x14ac:dyDescent="0.25">
      <c r="A168">
        <v>6290</v>
      </c>
      <c r="B168">
        <v>1</v>
      </c>
      <c r="C168">
        <v>2</v>
      </c>
      <c r="D168">
        <v>3</v>
      </c>
      <c r="E168" t="s">
        <v>35</v>
      </c>
      <c r="F168">
        <v>4</v>
      </c>
      <c r="G168">
        <v>3</v>
      </c>
      <c r="H168" t="s">
        <v>35</v>
      </c>
      <c r="I168">
        <v>6825</v>
      </c>
      <c r="J168">
        <v>5281.25</v>
      </c>
      <c r="K168">
        <v>0</v>
      </c>
      <c r="L168">
        <v>880</v>
      </c>
      <c r="M168">
        <v>29360</v>
      </c>
      <c r="N168" s="1">
        <f t="shared" si="7"/>
        <v>5505</v>
      </c>
      <c r="O168">
        <v>2745</v>
      </c>
      <c r="P168">
        <v>1025</v>
      </c>
      <c r="Q168">
        <v>3750</v>
      </c>
      <c r="R168">
        <v>400</v>
      </c>
      <c r="S168">
        <v>818.5</v>
      </c>
      <c r="T168" s="8"/>
      <c r="U168" s="7">
        <v>367000</v>
      </c>
      <c r="V168" s="9">
        <v>224087.05</v>
      </c>
      <c r="W168" s="14">
        <v>1.405834481246897</v>
      </c>
      <c r="X168" s="14">
        <v>0.57342177964888597</v>
      </c>
      <c r="Y168" s="14">
        <v>0.99594244444444435</v>
      </c>
      <c r="Z168" s="15">
        <v>46295</v>
      </c>
      <c r="AA168" s="10">
        <v>307198.375</v>
      </c>
      <c r="AB168">
        <v>83111.32500000007</v>
      </c>
      <c r="AC168" s="10">
        <v>1.2785861523819111</v>
      </c>
      <c r="AD168" s="14">
        <v>0.32395958304405215</v>
      </c>
      <c r="AE168" s="14">
        <f t="shared" si="9"/>
        <v>0.5</v>
      </c>
      <c r="AF168" s="14">
        <f t="shared" si="12"/>
        <v>0</v>
      </c>
      <c r="AG168" s="14">
        <f t="shared" si="10"/>
        <v>0</v>
      </c>
      <c r="AH168" s="14">
        <f t="shared" si="11"/>
        <v>0.5</v>
      </c>
      <c r="AI168" s="6">
        <v>45939</v>
      </c>
      <c r="AJ168">
        <v>263026.46206922713</v>
      </c>
    </row>
    <row r="169" spans="1:36" ht="15.75" x14ac:dyDescent="0.25">
      <c r="A169">
        <v>6291</v>
      </c>
      <c r="B169">
        <v>1</v>
      </c>
      <c r="C169">
        <v>2</v>
      </c>
      <c r="D169">
        <v>3</v>
      </c>
      <c r="E169">
        <v>4</v>
      </c>
      <c r="F169">
        <v>4</v>
      </c>
      <c r="G169">
        <v>3</v>
      </c>
      <c r="H169">
        <v>10000</v>
      </c>
      <c r="I169">
        <v>4403</v>
      </c>
      <c r="J169">
        <v>3407.083333333333</v>
      </c>
      <c r="K169">
        <v>0</v>
      </c>
      <c r="L169">
        <v>1760</v>
      </c>
      <c r="M169">
        <v>18240</v>
      </c>
      <c r="N169" s="1">
        <f t="shared" si="7"/>
        <v>3420</v>
      </c>
      <c r="O169" t="s">
        <v>35</v>
      </c>
      <c r="P169">
        <v>1025</v>
      </c>
      <c r="Q169">
        <v>3750</v>
      </c>
      <c r="R169">
        <v>400</v>
      </c>
      <c r="S169">
        <v>1034.5</v>
      </c>
      <c r="T169" s="8"/>
      <c r="U169" s="7">
        <v>228000</v>
      </c>
      <c r="V169" s="9">
        <v>129100.25125557209</v>
      </c>
      <c r="W169" s="14">
        <v>1.7186434545381364</v>
      </c>
      <c r="X169" s="14">
        <v>0.7435027646072645</v>
      </c>
      <c r="Y169" s="14">
        <v>0.57377889446920927</v>
      </c>
      <c r="Z169" s="15">
        <v>46418</v>
      </c>
      <c r="AA169" s="10">
        <v>178510.125</v>
      </c>
      <c r="AB169">
        <v>49409.873744427954</v>
      </c>
      <c r="AC169" s="10">
        <v>1.3069257558659595</v>
      </c>
      <c r="AD169" s="14">
        <v>0.23794209361076354</v>
      </c>
      <c r="AE169" s="14">
        <f t="shared" si="9"/>
        <v>0</v>
      </c>
      <c r="AF169" s="14">
        <f t="shared" si="12"/>
        <v>0.5</v>
      </c>
      <c r="AG169" s="14">
        <f t="shared" si="10"/>
        <v>0.5</v>
      </c>
      <c r="AH169" s="14">
        <f t="shared" si="11"/>
        <v>0</v>
      </c>
      <c r="AI169" s="6">
        <v>45939</v>
      </c>
      <c r="AJ169">
        <v>144852.27107752091</v>
      </c>
    </row>
    <row r="170" spans="1:36" ht="15.75" x14ac:dyDescent="0.25">
      <c r="A170">
        <v>6292</v>
      </c>
      <c r="B170">
        <v>1</v>
      </c>
      <c r="C170">
        <v>2</v>
      </c>
      <c r="D170">
        <v>3</v>
      </c>
      <c r="E170" t="s">
        <v>35</v>
      </c>
      <c r="F170">
        <v>4</v>
      </c>
      <c r="G170">
        <v>3</v>
      </c>
      <c r="H170" t="s">
        <v>35</v>
      </c>
      <c r="I170">
        <v>3621.7999999999997</v>
      </c>
      <c r="J170">
        <v>2802.5833333333335</v>
      </c>
      <c r="K170">
        <v>0</v>
      </c>
      <c r="L170">
        <v>880</v>
      </c>
      <c r="M170">
        <v>15182</v>
      </c>
      <c r="N170" s="1">
        <f t="shared" si="7"/>
        <v>2846.625</v>
      </c>
      <c r="O170">
        <v>1455</v>
      </c>
      <c r="P170">
        <v>1025</v>
      </c>
      <c r="Q170">
        <v>3750</v>
      </c>
      <c r="R170">
        <v>400</v>
      </c>
      <c r="S170">
        <v>814.22500000000002</v>
      </c>
      <c r="T170" s="8"/>
      <c r="U170" s="7">
        <v>189775</v>
      </c>
      <c r="V170" s="9">
        <v>98875.25009999999</v>
      </c>
      <c r="W170" s="14">
        <v>2.2859368618321989</v>
      </c>
      <c r="X170" s="14">
        <v>0.89594999999999991</v>
      </c>
      <c r="Y170" s="14">
        <v>0.82396041749999993</v>
      </c>
      <c r="Z170" s="15">
        <v>46295</v>
      </c>
      <c r="AA170" s="10">
        <v>158244.23958333334</v>
      </c>
      <c r="AB170">
        <v>59368.989483333309</v>
      </c>
      <c r="AC170" s="10">
        <v>1.2502072263796589</v>
      </c>
      <c r="AD170" s="14">
        <v>0.50878315567970278</v>
      </c>
      <c r="AE170" s="14">
        <f t="shared" si="9"/>
        <v>0.5</v>
      </c>
      <c r="AF170" s="14">
        <f t="shared" si="12"/>
        <v>0</v>
      </c>
      <c r="AG170" s="14">
        <f t="shared" si="10"/>
        <v>0</v>
      </c>
      <c r="AH170" s="14">
        <f t="shared" si="11"/>
        <v>0.5</v>
      </c>
      <c r="AI170" s="6">
        <v>45939</v>
      </c>
      <c r="AJ170">
        <v>135217.74156617955</v>
      </c>
    </row>
    <row r="171" spans="1:36" ht="15.75" x14ac:dyDescent="0.25">
      <c r="A171">
        <v>6293</v>
      </c>
      <c r="B171">
        <v>1</v>
      </c>
      <c r="C171">
        <v>2</v>
      </c>
      <c r="D171">
        <v>3</v>
      </c>
      <c r="E171" t="s">
        <v>35</v>
      </c>
      <c r="F171">
        <v>4</v>
      </c>
      <c r="G171">
        <v>3</v>
      </c>
      <c r="H171" t="s">
        <v>35</v>
      </c>
      <c r="I171">
        <v>6370</v>
      </c>
      <c r="J171">
        <v>4929.166666666667</v>
      </c>
      <c r="K171">
        <v>0</v>
      </c>
      <c r="L171">
        <v>880</v>
      </c>
      <c r="M171">
        <v>27036</v>
      </c>
      <c r="N171" s="1">
        <f t="shared" si="7"/>
        <v>5069.25</v>
      </c>
      <c r="O171">
        <v>2557.5</v>
      </c>
      <c r="P171">
        <v>1025</v>
      </c>
      <c r="Q171">
        <v>3750</v>
      </c>
      <c r="R171">
        <v>400</v>
      </c>
      <c r="S171">
        <v>814.22500000000002</v>
      </c>
      <c r="T171" s="8"/>
      <c r="U171" s="7">
        <v>337950</v>
      </c>
      <c r="V171" s="9">
        <v>200559.6707895</v>
      </c>
      <c r="W171" s="14">
        <v>1.6388109807829159</v>
      </c>
      <c r="X171" s="14">
        <v>0.89595000000000002</v>
      </c>
      <c r="Y171" s="14">
        <v>0.52778860734078947</v>
      </c>
      <c r="Z171" s="15">
        <v>46295</v>
      </c>
      <c r="AA171" s="10">
        <v>287197.87916666665</v>
      </c>
      <c r="AB171">
        <v>86638.208377166622</v>
      </c>
      <c r="AC171" s="10">
        <v>1.2838549584881425</v>
      </c>
      <c r="AD171" s="14">
        <v>0.37645619511604311</v>
      </c>
      <c r="AE171" s="14">
        <f t="shared" si="9"/>
        <v>0.5</v>
      </c>
      <c r="AF171" s="14">
        <f t="shared" si="12"/>
        <v>0</v>
      </c>
      <c r="AG171" s="14">
        <f t="shared" si="10"/>
        <v>0</v>
      </c>
      <c r="AH171" s="14">
        <f t="shared" si="11"/>
        <v>0.5</v>
      </c>
      <c r="AI171" s="6">
        <v>45939</v>
      </c>
      <c r="AJ171">
        <v>245935.38235777308</v>
      </c>
    </row>
    <row r="172" spans="1:36" ht="15.75" x14ac:dyDescent="0.25">
      <c r="A172">
        <v>6294</v>
      </c>
      <c r="B172">
        <v>1</v>
      </c>
      <c r="C172">
        <v>2</v>
      </c>
      <c r="D172">
        <v>3</v>
      </c>
      <c r="E172" t="s">
        <v>35</v>
      </c>
      <c r="F172">
        <v>4</v>
      </c>
      <c r="G172">
        <v>3</v>
      </c>
      <c r="H172" t="s">
        <v>35</v>
      </c>
      <c r="I172">
        <v>4094.9999999999991</v>
      </c>
      <c r="J172">
        <v>3168.75</v>
      </c>
      <c r="K172">
        <v>0</v>
      </c>
      <c r="L172">
        <v>880</v>
      </c>
      <c r="M172">
        <v>17560</v>
      </c>
      <c r="N172" s="1">
        <f t="shared" si="7"/>
        <v>3292.5</v>
      </c>
      <c r="O172">
        <v>1642.5</v>
      </c>
      <c r="P172">
        <v>1025</v>
      </c>
      <c r="Q172">
        <v>3750</v>
      </c>
      <c r="R172">
        <v>400</v>
      </c>
      <c r="S172">
        <v>818.5</v>
      </c>
      <c r="T172" s="8"/>
      <c r="U172" s="7">
        <v>219500</v>
      </c>
      <c r="V172" s="9">
        <v>142341.79475699732</v>
      </c>
      <c r="W172" s="14">
        <v>1.648863605773861</v>
      </c>
      <c r="X172" s="14">
        <v>0.64877758087863779</v>
      </c>
      <c r="Y172" s="14">
        <v>0.50836355270356182</v>
      </c>
      <c r="Z172" s="15">
        <v>46295</v>
      </c>
      <c r="AA172" s="10">
        <v>180948.375</v>
      </c>
      <c r="AB172">
        <v>38606.580243002682</v>
      </c>
      <c r="AC172" s="10">
        <v>1.2404620515089719</v>
      </c>
      <c r="AD172" s="14">
        <v>0.23506790995597843</v>
      </c>
      <c r="AE172" s="14">
        <f t="shared" si="9"/>
        <v>0.5</v>
      </c>
      <c r="AF172" s="14">
        <f t="shared" si="12"/>
        <v>0</v>
      </c>
      <c r="AG172" s="14">
        <f t="shared" si="10"/>
        <v>0</v>
      </c>
      <c r="AH172" s="14">
        <f t="shared" si="11"/>
        <v>0.5</v>
      </c>
      <c r="AI172" s="6">
        <v>45939</v>
      </c>
      <c r="AJ172">
        <v>154645.72638440269</v>
      </c>
    </row>
    <row r="173" spans="1:36" ht="15.75" x14ac:dyDescent="0.25">
      <c r="A173">
        <v>6295</v>
      </c>
      <c r="B173">
        <v>1</v>
      </c>
      <c r="C173">
        <v>2</v>
      </c>
      <c r="D173">
        <v>3</v>
      </c>
      <c r="E173" t="s">
        <v>35</v>
      </c>
      <c r="F173">
        <v>4</v>
      </c>
      <c r="G173">
        <v>3</v>
      </c>
      <c r="H173" t="s">
        <v>35</v>
      </c>
      <c r="I173">
        <v>3621.7999999999997</v>
      </c>
      <c r="J173">
        <v>2802.5833333333335</v>
      </c>
      <c r="K173">
        <v>0</v>
      </c>
      <c r="L173">
        <v>880</v>
      </c>
      <c r="M173">
        <v>15560</v>
      </c>
      <c r="N173" s="1">
        <f t="shared" si="7"/>
        <v>2917.5</v>
      </c>
      <c r="O173">
        <v>1455</v>
      </c>
      <c r="P173">
        <v>1025</v>
      </c>
      <c r="Q173">
        <v>3750</v>
      </c>
      <c r="R173">
        <v>400</v>
      </c>
      <c r="S173">
        <v>818.5</v>
      </c>
      <c r="T173" s="8"/>
      <c r="U173" s="7">
        <v>194500</v>
      </c>
      <c r="V173" s="9">
        <v>125411.28156140861</v>
      </c>
      <c r="W173" s="14">
        <v>1.6368919856990878</v>
      </c>
      <c r="X173" s="14">
        <v>0.75885585940990163</v>
      </c>
      <c r="Y173" s="14">
        <v>0.7838205097588038</v>
      </c>
      <c r="Z173" s="15">
        <v>46295</v>
      </c>
      <c r="AA173" s="10">
        <v>159567.95833333334</v>
      </c>
      <c r="AB173">
        <v>34156.676771924802</v>
      </c>
      <c r="AC173" s="10">
        <v>1.2810468964373218</v>
      </c>
      <c r="AD173" s="14">
        <v>0.23501883149147035</v>
      </c>
      <c r="AE173" s="14">
        <f t="shared" si="9"/>
        <v>0.5</v>
      </c>
      <c r="AF173" s="14">
        <f t="shared" si="12"/>
        <v>0</v>
      </c>
      <c r="AG173" s="14">
        <f t="shared" si="10"/>
        <v>0</v>
      </c>
      <c r="AH173" s="14">
        <f t="shared" si="11"/>
        <v>0.5</v>
      </c>
      <c r="AI173" s="6">
        <v>45939</v>
      </c>
      <c r="AJ173">
        <v>136292.62785605673</v>
      </c>
    </row>
    <row r="174" spans="1:36" ht="15.75" x14ac:dyDescent="0.25">
      <c r="A174">
        <v>6296</v>
      </c>
      <c r="B174">
        <v>1</v>
      </c>
      <c r="C174">
        <v>2</v>
      </c>
      <c r="D174">
        <v>3</v>
      </c>
      <c r="E174" t="s">
        <v>35</v>
      </c>
      <c r="F174">
        <v>4</v>
      </c>
      <c r="G174">
        <v>3</v>
      </c>
      <c r="H174" t="s">
        <v>35</v>
      </c>
      <c r="I174">
        <v>2544.75</v>
      </c>
      <c r="J174">
        <v>1755</v>
      </c>
      <c r="K174">
        <v>0</v>
      </c>
      <c r="L174">
        <v>880</v>
      </c>
      <c r="M174">
        <v>21800</v>
      </c>
      <c r="N174" s="1">
        <f t="shared" si="7"/>
        <v>4087.5</v>
      </c>
      <c r="O174">
        <v>2047.5</v>
      </c>
      <c r="P174">
        <v>1050</v>
      </c>
      <c r="Q174">
        <v>3750</v>
      </c>
      <c r="R174">
        <v>400</v>
      </c>
      <c r="S174">
        <v>773.5</v>
      </c>
      <c r="T174" s="8"/>
      <c r="U174" s="7">
        <v>272500</v>
      </c>
      <c r="V174" s="9">
        <v>201108.91899999999</v>
      </c>
      <c r="W174" s="14">
        <v>1.7558255200671216</v>
      </c>
      <c r="X174" s="14">
        <v>0.70719639762887676</v>
      </c>
      <c r="Y174" s="14">
        <v>0.7589015811320754</v>
      </c>
      <c r="Z174" s="15">
        <v>46295</v>
      </c>
      <c r="AA174" s="10">
        <v>231021.25</v>
      </c>
      <c r="AB174">
        <v>29912.331000000064</v>
      </c>
      <c r="AC174" s="10">
        <v>1.2819638601993191</v>
      </c>
      <c r="AD174" s="14">
        <v>0.13222326636314388</v>
      </c>
      <c r="AE174" s="14">
        <f t="shared" si="9"/>
        <v>0.5</v>
      </c>
      <c r="AF174" s="14">
        <f t="shared" si="12"/>
        <v>0</v>
      </c>
      <c r="AG174" s="14">
        <f t="shared" si="10"/>
        <v>0</v>
      </c>
      <c r="AH174" s="14">
        <f t="shared" si="11"/>
        <v>0.5</v>
      </c>
      <c r="AI174" s="6">
        <v>45939</v>
      </c>
      <c r="AJ174">
        <v>197935.63981834453</v>
      </c>
    </row>
    <row r="175" spans="1:36" ht="15.75" x14ac:dyDescent="0.25">
      <c r="A175">
        <v>6297</v>
      </c>
      <c r="B175">
        <v>1</v>
      </c>
      <c r="C175">
        <v>2</v>
      </c>
      <c r="D175">
        <v>3</v>
      </c>
      <c r="E175" t="s">
        <v>35</v>
      </c>
      <c r="F175">
        <v>4</v>
      </c>
      <c r="G175">
        <v>3</v>
      </c>
      <c r="H175" t="s">
        <v>35</v>
      </c>
      <c r="I175">
        <v>3016</v>
      </c>
      <c r="J175">
        <v>2080</v>
      </c>
      <c r="K175">
        <v>0</v>
      </c>
      <c r="L175">
        <v>880</v>
      </c>
      <c r="M175">
        <v>25840</v>
      </c>
      <c r="N175" s="1">
        <f t="shared" si="7"/>
        <v>4845</v>
      </c>
      <c r="O175">
        <v>2422.5</v>
      </c>
      <c r="P175">
        <v>1050</v>
      </c>
      <c r="Q175">
        <v>3750</v>
      </c>
      <c r="R175">
        <v>400</v>
      </c>
      <c r="S175">
        <v>773.5</v>
      </c>
      <c r="T175" s="8"/>
      <c r="U175" s="7">
        <v>323000</v>
      </c>
      <c r="V175" s="9">
        <v>239933.41899999999</v>
      </c>
      <c r="W175" s="14">
        <v>1.5530637148368904</v>
      </c>
      <c r="X175" s="14">
        <v>0.70191425347160008</v>
      </c>
      <c r="Y175" s="14">
        <v>0.74979193437500002</v>
      </c>
      <c r="Z175" s="15">
        <v>46295</v>
      </c>
      <c r="AA175" s="10">
        <v>275105</v>
      </c>
      <c r="AB175">
        <v>35171.581000000006</v>
      </c>
      <c r="AC175" s="10">
        <v>1.1940544385743874</v>
      </c>
      <c r="AD175" s="14">
        <v>0.13082042336463925</v>
      </c>
      <c r="AE175" s="14">
        <f t="shared" si="9"/>
        <v>0.5</v>
      </c>
      <c r="AF175" s="14">
        <f t="shared" si="12"/>
        <v>0</v>
      </c>
      <c r="AG175" s="14">
        <f t="shared" si="10"/>
        <v>0</v>
      </c>
      <c r="AH175" s="14">
        <f t="shared" si="11"/>
        <v>0.5</v>
      </c>
      <c r="AI175" s="6">
        <v>45939</v>
      </c>
      <c r="AJ175">
        <v>235835.60274533066</v>
      </c>
    </row>
    <row r="176" spans="1:36" ht="15.75" x14ac:dyDescent="0.25">
      <c r="A176">
        <v>6298</v>
      </c>
      <c r="B176">
        <v>1</v>
      </c>
      <c r="C176">
        <v>2</v>
      </c>
      <c r="D176">
        <v>3</v>
      </c>
      <c r="E176" t="s">
        <v>35</v>
      </c>
      <c r="F176">
        <v>4</v>
      </c>
      <c r="G176">
        <v>3</v>
      </c>
      <c r="H176" t="s">
        <v>35</v>
      </c>
      <c r="I176">
        <v>2120.6249999999995</v>
      </c>
      <c r="J176">
        <v>1462.5</v>
      </c>
      <c r="K176">
        <v>0</v>
      </c>
      <c r="L176">
        <v>880</v>
      </c>
      <c r="M176">
        <v>18052</v>
      </c>
      <c r="N176" s="1">
        <f t="shared" si="7"/>
        <v>3384.75</v>
      </c>
      <c r="O176">
        <v>1702.5</v>
      </c>
      <c r="P176">
        <v>1050</v>
      </c>
      <c r="Q176">
        <v>3750</v>
      </c>
      <c r="R176">
        <v>400</v>
      </c>
      <c r="S176">
        <v>762.47500000000002</v>
      </c>
      <c r="T176" s="8"/>
      <c r="U176" s="7">
        <v>225650</v>
      </c>
      <c r="V176" s="9">
        <v>159638.38</v>
      </c>
      <c r="W176" s="14">
        <v>1.811051748004862</v>
      </c>
      <c r="X176" s="14">
        <v>0.84151498482764298</v>
      </c>
      <c r="Y176" s="14">
        <v>0.7985911955977989</v>
      </c>
      <c r="Z176" s="15">
        <v>46295</v>
      </c>
      <c r="AA176" s="10">
        <v>193636.68124999999</v>
      </c>
      <c r="AB176">
        <v>33998.30124999996</v>
      </c>
      <c r="AC176" s="10">
        <v>1.2905938029251867</v>
      </c>
      <c r="AD176" s="14">
        <v>0.18825127482414244</v>
      </c>
      <c r="AE176" s="14">
        <f t="shared" si="9"/>
        <v>0.5</v>
      </c>
      <c r="AF176" s="14">
        <f t="shared" si="12"/>
        <v>0</v>
      </c>
      <c r="AG176" s="14">
        <f t="shared" si="10"/>
        <v>0</v>
      </c>
      <c r="AH176" s="14">
        <f t="shared" si="11"/>
        <v>0.5</v>
      </c>
      <c r="AI176" s="6">
        <v>45939</v>
      </c>
      <c r="AJ176">
        <v>165859.23614815381</v>
      </c>
    </row>
    <row r="177" spans="1:36" ht="15.75" x14ac:dyDescent="0.25">
      <c r="A177">
        <v>6299</v>
      </c>
      <c r="B177">
        <v>1</v>
      </c>
      <c r="C177">
        <v>2</v>
      </c>
      <c r="D177">
        <v>3</v>
      </c>
      <c r="E177" t="s">
        <v>35</v>
      </c>
      <c r="F177">
        <v>4</v>
      </c>
      <c r="G177">
        <v>3</v>
      </c>
      <c r="H177" t="s">
        <v>35</v>
      </c>
      <c r="I177">
        <v>1837.8749999999995</v>
      </c>
      <c r="J177">
        <v>1267.5</v>
      </c>
      <c r="K177">
        <v>2535</v>
      </c>
      <c r="L177">
        <v>880</v>
      </c>
      <c r="M177">
        <v>15760</v>
      </c>
      <c r="N177" s="1">
        <f t="shared" si="7"/>
        <v>2955</v>
      </c>
      <c r="O177">
        <v>1477.5</v>
      </c>
      <c r="P177">
        <v>1050</v>
      </c>
      <c r="Q177">
        <v>3750</v>
      </c>
      <c r="R177">
        <v>400</v>
      </c>
      <c r="S177">
        <v>773.5</v>
      </c>
      <c r="T177" s="8"/>
      <c r="U177" s="7">
        <v>197000</v>
      </c>
      <c r="V177" s="9">
        <v>143456.5275</v>
      </c>
      <c r="W177" s="14">
        <v>1.1036966616406965</v>
      </c>
      <c r="X177" s="14">
        <v>0.73469806742997357</v>
      </c>
      <c r="Y177" s="14">
        <v>0.73567450000000001</v>
      </c>
      <c r="Z177" s="15">
        <v>46234</v>
      </c>
      <c r="AA177" s="10">
        <v>162777.5</v>
      </c>
      <c r="AB177">
        <v>19320.97250000012</v>
      </c>
      <c r="AC177" s="10">
        <v>1.2347167283737224</v>
      </c>
      <c r="AD177" s="14">
        <v>0.14093345999717713</v>
      </c>
      <c r="AE177" s="14">
        <f t="shared" si="9"/>
        <v>0.5</v>
      </c>
      <c r="AF177" s="14">
        <f t="shared" si="12"/>
        <v>0</v>
      </c>
      <c r="AG177" s="14">
        <f t="shared" si="10"/>
        <v>0</v>
      </c>
      <c r="AH177" s="14">
        <f t="shared" si="11"/>
        <v>0.5</v>
      </c>
      <c r="AI177" s="6">
        <v>45939</v>
      </c>
      <c r="AJ177">
        <v>142543.63383801896</v>
      </c>
    </row>
    <row r="178" spans="1:36" ht="15.75" x14ac:dyDescent="0.25">
      <c r="A178">
        <v>6300</v>
      </c>
      <c r="B178">
        <v>1</v>
      </c>
      <c r="C178">
        <v>2</v>
      </c>
      <c r="D178">
        <v>3</v>
      </c>
      <c r="E178" t="s">
        <v>35</v>
      </c>
      <c r="F178">
        <v>4</v>
      </c>
      <c r="G178">
        <v>3</v>
      </c>
      <c r="H178" t="s">
        <v>35</v>
      </c>
      <c r="I178">
        <v>3063.125</v>
      </c>
      <c r="J178">
        <v>2112.5</v>
      </c>
      <c r="K178">
        <v>0</v>
      </c>
      <c r="L178">
        <v>880</v>
      </c>
      <c r="M178">
        <v>26132</v>
      </c>
      <c r="N178" s="1">
        <f t="shared" si="7"/>
        <v>4899.75</v>
      </c>
      <c r="O178">
        <v>2460</v>
      </c>
      <c r="P178">
        <v>1050</v>
      </c>
      <c r="Q178">
        <v>3750</v>
      </c>
      <c r="R178">
        <v>400</v>
      </c>
      <c r="S178">
        <v>762.47500000000002</v>
      </c>
      <c r="T178" s="8"/>
      <c r="U178" s="7">
        <v>326650</v>
      </c>
      <c r="V178" s="9">
        <v>223830.22915855137</v>
      </c>
      <c r="W178" s="14">
        <v>1.4524305891870268</v>
      </c>
      <c r="X178" s="14">
        <v>0.79823005570255456</v>
      </c>
      <c r="Y178" s="14">
        <v>0.699469466120473</v>
      </c>
      <c r="Z178" s="15">
        <v>46295</v>
      </c>
      <c r="AA178" s="10">
        <v>283184.93124999997</v>
      </c>
      <c r="AB178">
        <v>59354.702091448649</v>
      </c>
      <c r="AC178" s="10">
        <v>1.2591411051924242</v>
      </c>
      <c r="AD178" s="14">
        <v>0.23578384518623352</v>
      </c>
      <c r="AE178" s="14">
        <f t="shared" si="9"/>
        <v>0.5</v>
      </c>
      <c r="AF178" s="14">
        <f t="shared" si="12"/>
        <v>0</v>
      </c>
      <c r="AG178" s="14">
        <f t="shared" si="10"/>
        <v>0</v>
      </c>
      <c r="AH178" s="14">
        <f t="shared" si="11"/>
        <v>0.5</v>
      </c>
      <c r="AI178" s="6">
        <v>45939</v>
      </c>
      <c r="AJ178">
        <v>242853.00382667233</v>
      </c>
    </row>
    <row r="179" spans="1:36" ht="15.75" x14ac:dyDescent="0.25">
      <c r="A179">
        <v>6301</v>
      </c>
      <c r="B179">
        <v>1</v>
      </c>
      <c r="C179">
        <v>2</v>
      </c>
      <c r="D179">
        <v>3</v>
      </c>
      <c r="E179" t="s">
        <v>35</v>
      </c>
      <c r="F179">
        <v>4</v>
      </c>
      <c r="G179">
        <v>3</v>
      </c>
      <c r="H179" t="s">
        <v>35</v>
      </c>
      <c r="I179">
        <v>1790.7499999999995</v>
      </c>
      <c r="J179">
        <v>1235</v>
      </c>
      <c r="K179">
        <v>0</v>
      </c>
      <c r="L179">
        <v>880</v>
      </c>
      <c r="M179">
        <v>15320</v>
      </c>
      <c r="N179" s="1">
        <f t="shared" si="7"/>
        <v>2872.5</v>
      </c>
      <c r="O179">
        <v>1440</v>
      </c>
      <c r="P179">
        <v>1050</v>
      </c>
      <c r="Q179">
        <v>3750</v>
      </c>
      <c r="R179">
        <v>400</v>
      </c>
      <c r="S179">
        <v>773.5</v>
      </c>
      <c r="T179" s="8"/>
      <c r="U179" s="7">
        <v>191500</v>
      </c>
      <c r="V179" s="9">
        <v>124548.00049999999</v>
      </c>
      <c r="W179" s="14">
        <v>1.1001988560751605</v>
      </c>
      <c r="X179" s="14">
        <v>0.60927514367970725</v>
      </c>
      <c r="Y179" s="14">
        <v>0.62274000249999995</v>
      </c>
      <c r="Z179" s="15">
        <v>46295</v>
      </c>
      <c r="AA179" s="10">
        <v>160309.75</v>
      </c>
      <c r="AB179">
        <v>35761.749499999976</v>
      </c>
      <c r="AC179" s="10">
        <v>1.2796405676193305</v>
      </c>
      <c r="AD179" s="14">
        <v>0.25039539933204658</v>
      </c>
      <c r="AE179" s="14">
        <f t="shared" si="9"/>
        <v>0.5</v>
      </c>
      <c r="AF179" s="14">
        <f t="shared" si="12"/>
        <v>0</v>
      </c>
      <c r="AG179" s="14">
        <f t="shared" si="10"/>
        <v>0</v>
      </c>
      <c r="AH179" s="14">
        <f t="shared" si="11"/>
        <v>0.5</v>
      </c>
      <c r="AI179" s="6">
        <v>45939</v>
      </c>
      <c r="AJ179">
        <v>137142.91243268771</v>
      </c>
    </row>
    <row r="180" spans="1:36" ht="15.75" x14ac:dyDescent="0.25">
      <c r="A180">
        <v>6302</v>
      </c>
      <c r="B180">
        <v>1</v>
      </c>
      <c r="C180">
        <v>2</v>
      </c>
      <c r="D180">
        <v>3</v>
      </c>
      <c r="E180" t="s">
        <v>35</v>
      </c>
      <c r="F180">
        <v>4</v>
      </c>
      <c r="G180">
        <v>3</v>
      </c>
      <c r="H180" t="s">
        <v>35</v>
      </c>
      <c r="I180">
        <v>1979.2499999999995</v>
      </c>
      <c r="J180">
        <v>1365</v>
      </c>
      <c r="K180">
        <v>0</v>
      </c>
      <c r="L180">
        <v>880</v>
      </c>
      <c r="M180">
        <v>16960</v>
      </c>
      <c r="N180" s="1">
        <f t="shared" si="7"/>
        <v>3180</v>
      </c>
      <c r="O180">
        <v>1590</v>
      </c>
      <c r="P180">
        <v>1050</v>
      </c>
      <c r="Q180">
        <v>3750</v>
      </c>
      <c r="R180">
        <v>400</v>
      </c>
      <c r="S180">
        <v>773.5</v>
      </c>
      <c r="T180" s="8"/>
      <c r="U180" s="7">
        <v>212000</v>
      </c>
      <c r="V180" s="9">
        <v>149504.19</v>
      </c>
      <c r="W180" s="14">
        <v>1.3469643203205812</v>
      </c>
      <c r="X180" s="14">
        <v>0.68078331875344278</v>
      </c>
      <c r="Y180" s="14">
        <v>0.74752094999999996</v>
      </c>
      <c r="Z180" s="15">
        <v>46295</v>
      </c>
      <c r="AA180" s="10">
        <v>178209.5</v>
      </c>
      <c r="AB180">
        <v>28705.310000000085</v>
      </c>
      <c r="AC180" s="10">
        <v>1.2524560778109555</v>
      </c>
      <c r="AD180" s="14">
        <v>0.16904723048210146</v>
      </c>
      <c r="AE180" s="14">
        <f t="shared" si="9"/>
        <v>0.5</v>
      </c>
      <c r="AF180" s="14">
        <f t="shared" si="12"/>
        <v>0</v>
      </c>
      <c r="AG180" s="14">
        <f t="shared" si="10"/>
        <v>0</v>
      </c>
      <c r="AH180" s="14">
        <f t="shared" si="11"/>
        <v>0.5</v>
      </c>
      <c r="AI180" s="6">
        <v>45939</v>
      </c>
      <c r="AJ180">
        <v>152532.07765720057</v>
      </c>
    </row>
    <row r="181" spans="1:36" ht="15.75" x14ac:dyDescent="0.25">
      <c r="A181">
        <v>6303</v>
      </c>
      <c r="B181">
        <v>1</v>
      </c>
      <c r="C181">
        <v>2</v>
      </c>
      <c r="D181">
        <v>3</v>
      </c>
      <c r="E181" t="s">
        <v>35</v>
      </c>
      <c r="F181">
        <v>4</v>
      </c>
      <c r="G181">
        <v>3</v>
      </c>
      <c r="H181" t="s">
        <v>35</v>
      </c>
      <c r="I181">
        <v>5890.625</v>
      </c>
      <c r="J181">
        <v>4062.5</v>
      </c>
      <c r="K181">
        <v>0</v>
      </c>
      <c r="L181">
        <v>880</v>
      </c>
      <c r="M181">
        <v>50520</v>
      </c>
      <c r="N181" s="1">
        <f t="shared" si="7"/>
        <v>9472.5</v>
      </c>
      <c r="O181">
        <v>4740</v>
      </c>
      <c r="P181">
        <v>1050</v>
      </c>
      <c r="Q181">
        <v>3750</v>
      </c>
      <c r="R181">
        <v>400</v>
      </c>
      <c r="S181">
        <v>773.5</v>
      </c>
      <c r="T181" s="8"/>
      <c r="U181" s="7">
        <v>631500</v>
      </c>
      <c r="V181" s="9">
        <v>499103.88</v>
      </c>
      <c r="W181" s="14">
        <v>1.3956603772582445</v>
      </c>
      <c r="X181" s="14">
        <v>0.51600260941659293</v>
      </c>
      <c r="Y181" s="14">
        <v>0.93290444859813082</v>
      </c>
      <c r="Z181" s="15">
        <v>46142</v>
      </c>
      <c r="AA181" s="10">
        <v>544415.25</v>
      </c>
      <c r="AB181">
        <v>45311.369999999995</v>
      </c>
      <c r="AC181" s="10">
        <v>1.1941528027322525</v>
      </c>
      <c r="AD181" s="14">
        <v>0.13754636645317075</v>
      </c>
      <c r="AE181" s="14">
        <f t="shared" si="9"/>
        <v>0.5</v>
      </c>
      <c r="AF181" s="14">
        <f t="shared" si="12"/>
        <v>0</v>
      </c>
      <c r="AG181" s="14">
        <f t="shared" si="10"/>
        <v>0</v>
      </c>
      <c r="AH181" s="14">
        <f t="shared" si="11"/>
        <v>0.5</v>
      </c>
      <c r="AI181" s="6">
        <v>45939</v>
      </c>
      <c r="AJ181">
        <v>495697.6565761157</v>
      </c>
    </row>
    <row r="182" spans="1:36" ht="15.75" x14ac:dyDescent="0.25">
      <c r="A182">
        <v>6304</v>
      </c>
      <c r="B182">
        <v>1</v>
      </c>
      <c r="C182">
        <v>2</v>
      </c>
      <c r="D182">
        <v>3</v>
      </c>
      <c r="E182" t="s">
        <v>35</v>
      </c>
      <c r="F182">
        <v>4</v>
      </c>
      <c r="G182">
        <v>3</v>
      </c>
      <c r="H182" t="s">
        <v>35</v>
      </c>
      <c r="I182">
        <v>2591.875</v>
      </c>
      <c r="J182">
        <v>1787.5</v>
      </c>
      <c r="K182">
        <v>0</v>
      </c>
      <c r="L182">
        <v>880</v>
      </c>
      <c r="M182">
        <v>22200</v>
      </c>
      <c r="N182" s="1">
        <f t="shared" si="7"/>
        <v>4162.5</v>
      </c>
      <c r="O182">
        <v>2085</v>
      </c>
      <c r="P182">
        <v>1050</v>
      </c>
      <c r="Q182">
        <v>3750</v>
      </c>
      <c r="R182">
        <v>400</v>
      </c>
      <c r="S182">
        <v>773.5</v>
      </c>
      <c r="T182" s="8"/>
      <c r="U182" s="7">
        <v>277500</v>
      </c>
      <c r="V182" s="9">
        <v>202205.96</v>
      </c>
      <c r="W182" s="14">
        <v>2.1297890138567026</v>
      </c>
      <c r="X182" s="14">
        <v>0.78410748610179415</v>
      </c>
      <c r="Y182" s="14">
        <v>0.74068117216117213</v>
      </c>
      <c r="Z182" s="15">
        <v>46295</v>
      </c>
      <c r="AA182" s="10">
        <v>235385.25</v>
      </c>
      <c r="AB182">
        <v>33179.290000000095</v>
      </c>
      <c r="AC182" s="10">
        <v>1.2531383813910633</v>
      </c>
      <c r="AD182" s="14">
        <v>0.14580183625221255</v>
      </c>
      <c r="AE182" s="14">
        <f t="shared" si="9"/>
        <v>0.5</v>
      </c>
      <c r="AF182" s="14">
        <f t="shared" si="12"/>
        <v>0</v>
      </c>
      <c r="AG182" s="14">
        <f t="shared" si="10"/>
        <v>0</v>
      </c>
      <c r="AH182" s="14">
        <f t="shared" si="11"/>
        <v>0.5</v>
      </c>
      <c r="AI182" s="6">
        <v>45939</v>
      </c>
      <c r="AJ182">
        <v>201687.43943542338</v>
      </c>
    </row>
    <row r="183" spans="1:36" ht="15.75" x14ac:dyDescent="0.25">
      <c r="A183">
        <v>6305</v>
      </c>
      <c r="B183">
        <v>1</v>
      </c>
      <c r="C183">
        <v>2</v>
      </c>
      <c r="D183">
        <v>3</v>
      </c>
      <c r="E183" t="s">
        <v>35</v>
      </c>
      <c r="F183">
        <v>4</v>
      </c>
      <c r="G183">
        <v>3</v>
      </c>
      <c r="H183" t="s">
        <v>35</v>
      </c>
      <c r="I183">
        <v>1602.25</v>
      </c>
      <c r="J183">
        <v>1105</v>
      </c>
      <c r="K183">
        <v>0</v>
      </c>
      <c r="L183">
        <v>880</v>
      </c>
      <c r="M183">
        <v>13720</v>
      </c>
      <c r="N183" s="1">
        <f t="shared" si="7"/>
        <v>2572.5</v>
      </c>
      <c r="O183">
        <v>1290</v>
      </c>
      <c r="P183">
        <v>1050</v>
      </c>
      <c r="Q183">
        <v>3750</v>
      </c>
      <c r="R183">
        <v>400</v>
      </c>
      <c r="S183">
        <v>773.5</v>
      </c>
      <c r="T183" s="8"/>
      <c r="U183" s="7">
        <v>171500</v>
      </c>
      <c r="V183" s="9">
        <v>126550.94649999999</v>
      </c>
      <c r="W183" s="14">
        <v>1.1309562116333458</v>
      </c>
      <c r="X183" s="14">
        <v>0.41968306654004522</v>
      </c>
      <c r="Y183" s="14">
        <v>0.74441733235294116</v>
      </c>
      <c r="Z183" s="15">
        <v>46295</v>
      </c>
      <c r="AA183" s="10">
        <v>142853.75</v>
      </c>
      <c r="AB183">
        <v>16302.803499999893</v>
      </c>
      <c r="AC183" s="10">
        <v>1.2129354177396336</v>
      </c>
      <c r="AD183" s="14">
        <v>0.11304484009742738</v>
      </c>
      <c r="AE183" s="14">
        <f t="shared" si="9"/>
        <v>0.5</v>
      </c>
      <c r="AF183" s="14">
        <f t="shared" si="12"/>
        <v>0</v>
      </c>
      <c r="AG183" s="14">
        <f t="shared" si="10"/>
        <v>0</v>
      </c>
      <c r="AH183" s="14">
        <f t="shared" si="11"/>
        <v>0.5</v>
      </c>
      <c r="AI183" s="6">
        <v>45939</v>
      </c>
      <c r="AJ183">
        <v>122135.71396437216</v>
      </c>
    </row>
    <row r="184" spans="1:36" ht="15.75" x14ac:dyDescent="0.25">
      <c r="A184">
        <v>6306</v>
      </c>
      <c r="B184">
        <v>1</v>
      </c>
      <c r="C184">
        <v>2</v>
      </c>
      <c r="D184">
        <v>3</v>
      </c>
      <c r="E184" t="s">
        <v>35</v>
      </c>
      <c r="F184">
        <v>4</v>
      </c>
      <c r="G184">
        <v>3</v>
      </c>
      <c r="H184" t="s">
        <v>35</v>
      </c>
      <c r="I184">
        <v>2450.5</v>
      </c>
      <c r="J184">
        <v>1690</v>
      </c>
      <c r="K184">
        <v>0</v>
      </c>
      <c r="L184">
        <v>880</v>
      </c>
      <c r="M184">
        <v>21000</v>
      </c>
      <c r="N184" s="1">
        <f t="shared" si="7"/>
        <v>3937.5</v>
      </c>
      <c r="O184">
        <v>1972.5</v>
      </c>
      <c r="P184">
        <v>1050</v>
      </c>
      <c r="Q184">
        <v>3750</v>
      </c>
      <c r="R184">
        <v>400</v>
      </c>
      <c r="S184">
        <v>773.5</v>
      </c>
      <c r="T184" s="8"/>
      <c r="U184" s="7">
        <v>262500</v>
      </c>
      <c r="V184" s="9">
        <v>175465.73485578099</v>
      </c>
      <c r="W184" s="14">
        <v>1.6901684637720482</v>
      </c>
      <c r="X184" s="14">
        <v>0.62144816793987245</v>
      </c>
      <c r="Y184" s="14">
        <v>0.70186293942312394</v>
      </c>
      <c r="Z184" s="15">
        <v>46295</v>
      </c>
      <c r="AA184" s="10">
        <v>222293.25</v>
      </c>
      <c r="AB184">
        <v>46827.515144219011</v>
      </c>
      <c r="AC184" s="10">
        <v>1.2523904483810699</v>
      </c>
      <c r="AD184" s="14">
        <v>0.23541362881660463</v>
      </c>
      <c r="AE184" s="14">
        <f t="shared" si="9"/>
        <v>0.5</v>
      </c>
      <c r="AF184" s="14">
        <f t="shared" si="12"/>
        <v>0</v>
      </c>
      <c r="AG184" s="14">
        <f t="shared" si="10"/>
        <v>0</v>
      </c>
      <c r="AH184" s="14">
        <f t="shared" si="11"/>
        <v>0.5</v>
      </c>
      <c r="AI184" s="6">
        <v>45939</v>
      </c>
      <c r="AJ184">
        <v>190432.0405841867</v>
      </c>
    </row>
    <row r="185" spans="1:36" ht="15.75" x14ac:dyDescent="0.25">
      <c r="A185">
        <v>6307</v>
      </c>
      <c r="B185">
        <v>1</v>
      </c>
      <c r="C185">
        <v>2</v>
      </c>
      <c r="D185">
        <v>3</v>
      </c>
      <c r="E185" t="s">
        <v>35</v>
      </c>
      <c r="F185">
        <v>4</v>
      </c>
      <c r="G185">
        <v>3</v>
      </c>
      <c r="H185" t="s">
        <v>35</v>
      </c>
      <c r="I185">
        <v>2356.25</v>
      </c>
      <c r="J185">
        <v>1625</v>
      </c>
      <c r="K185">
        <v>0</v>
      </c>
      <c r="L185">
        <v>880</v>
      </c>
      <c r="M185">
        <v>20200</v>
      </c>
      <c r="N185" s="1">
        <f t="shared" si="7"/>
        <v>3787.5</v>
      </c>
      <c r="O185">
        <v>1897.5</v>
      </c>
      <c r="P185">
        <v>1050</v>
      </c>
      <c r="Q185">
        <v>3750</v>
      </c>
      <c r="R185">
        <v>400</v>
      </c>
      <c r="S185">
        <v>773.5</v>
      </c>
      <c r="T185" s="8"/>
      <c r="U185" s="7">
        <v>252500</v>
      </c>
      <c r="V185" s="9">
        <v>189324.19</v>
      </c>
      <c r="W185" s="14">
        <v>2.0977679852587747</v>
      </c>
      <c r="X185" s="14">
        <v>0.80856288090062312</v>
      </c>
      <c r="Y185" s="14">
        <v>0.72816996153846159</v>
      </c>
      <c r="Z185" s="15">
        <v>46295</v>
      </c>
      <c r="AA185" s="10">
        <v>213565.25</v>
      </c>
      <c r="AB185">
        <v>24241.059999999939</v>
      </c>
      <c r="AC185" s="10">
        <v>1.2529594692734938</v>
      </c>
      <c r="AD185" s="14">
        <v>0.1137491524219513</v>
      </c>
      <c r="AE185" s="14">
        <f t="shared" si="9"/>
        <v>0.5</v>
      </c>
      <c r="AF185" s="14">
        <f t="shared" si="12"/>
        <v>0</v>
      </c>
      <c r="AG185" s="14">
        <f t="shared" si="10"/>
        <v>0</v>
      </c>
      <c r="AH185" s="14">
        <f t="shared" si="11"/>
        <v>0.5</v>
      </c>
      <c r="AI185" s="6">
        <v>45939</v>
      </c>
      <c r="AJ185">
        <v>182928.44135002894</v>
      </c>
    </row>
    <row r="186" spans="1:36" ht="15.75" x14ac:dyDescent="0.25">
      <c r="A186">
        <v>6308</v>
      </c>
      <c r="B186">
        <v>1</v>
      </c>
      <c r="C186">
        <v>2</v>
      </c>
      <c r="D186">
        <v>3</v>
      </c>
      <c r="E186" t="s">
        <v>35</v>
      </c>
      <c r="F186">
        <v>4</v>
      </c>
      <c r="G186">
        <v>3</v>
      </c>
      <c r="H186" t="s">
        <v>35</v>
      </c>
      <c r="I186">
        <v>1413.75</v>
      </c>
      <c r="J186">
        <v>975</v>
      </c>
      <c r="K186">
        <v>0</v>
      </c>
      <c r="L186">
        <v>880</v>
      </c>
      <c r="M186">
        <v>12080</v>
      </c>
      <c r="N186" s="1">
        <f t="shared" si="7"/>
        <v>2265</v>
      </c>
      <c r="O186">
        <v>1132.5</v>
      </c>
      <c r="P186">
        <v>1050</v>
      </c>
      <c r="Q186">
        <v>3750</v>
      </c>
      <c r="R186">
        <v>400</v>
      </c>
      <c r="S186">
        <v>773.5</v>
      </c>
      <c r="T186" s="8"/>
      <c r="U186" s="7">
        <v>151000</v>
      </c>
      <c r="V186" s="9">
        <v>98218.151473003192</v>
      </c>
      <c r="W186" s="14">
        <v>1.3512870621803679</v>
      </c>
      <c r="X186" s="14">
        <v>0.53917334679628659</v>
      </c>
      <c r="Y186" s="14">
        <v>0.53090892688109836</v>
      </c>
      <c r="Z186" s="15">
        <v>46295</v>
      </c>
      <c r="AA186" s="10">
        <v>124954</v>
      </c>
      <c r="AB186">
        <v>26735.84852699675</v>
      </c>
      <c r="AC186" s="10">
        <v>1.24828155785579</v>
      </c>
      <c r="AD186" s="14">
        <v>0.23517797589302067</v>
      </c>
      <c r="AE186" s="14">
        <f t="shared" si="9"/>
        <v>0.5</v>
      </c>
      <c r="AF186" s="14">
        <f t="shared" si="12"/>
        <v>0</v>
      </c>
      <c r="AG186" s="14">
        <f t="shared" si="10"/>
        <v>0</v>
      </c>
      <c r="AH186" s="14">
        <f t="shared" si="11"/>
        <v>0.5</v>
      </c>
      <c r="AI186" s="6">
        <v>45939</v>
      </c>
      <c r="AJ186">
        <v>106746.54873985934</v>
      </c>
    </row>
    <row r="187" spans="1:36" ht="15.75" x14ac:dyDescent="0.25">
      <c r="A187">
        <v>6309</v>
      </c>
      <c r="B187">
        <v>1</v>
      </c>
      <c r="C187">
        <v>2</v>
      </c>
      <c r="D187">
        <v>3</v>
      </c>
      <c r="E187" t="s">
        <v>35</v>
      </c>
      <c r="F187">
        <v>4</v>
      </c>
      <c r="G187">
        <v>3</v>
      </c>
      <c r="H187" t="s">
        <v>35</v>
      </c>
      <c r="I187">
        <v>2120.6249999999995</v>
      </c>
      <c r="J187">
        <v>1462.5</v>
      </c>
      <c r="K187">
        <v>0</v>
      </c>
      <c r="L187">
        <v>880</v>
      </c>
      <c r="M187">
        <v>18160</v>
      </c>
      <c r="N187" s="1">
        <f t="shared" si="7"/>
        <v>3405</v>
      </c>
      <c r="O187">
        <v>1702.5</v>
      </c>
      <c r="P187">
        <v>1050</v>
      </c>
      <c r="Q187">
        <v>3750</v>
      </c>
      <c r="R187">
        <v>400</v>
      </c>
      <c r="S187">
        <v>773.5</v>
      </c>
      <c r="T187" s="8"/>
      <c r="U187" s="7">
        <v>227000</v>
      </c>
      <c r="V187" s="9">
        <v>166348.04999999999</v>
      </c>
      <c r="W187" s="14">
        <v>1.6101539716290156</v>
      </c>
      <c r="X187" s="14">
        <v>0.75290162454403886</v>
      </c>
      <c r="Y187" s="14">
        <v>0.72356698564593291</v>
      </c>
      <c r="Z187" s="15">
        <v>46295</v>
      </c>
      <c r="AA187" s="10">
        <v>191301.5</v>
      </c>
      <c r="AB187">
        <v>24953.450000000186</v>
      </c>
      <c r="AC187" s="10">
        <v>1.2520263976572756</v>
      </c>
      <c r="AD187" s="14">
        <v>0.13269641995429993</v>
      </c>
      <c r="AE187" s="14">
        <f t="shared" si="9"/>
        <v>0.5</v>
      </c>
      <c r="AF187" s="14">
        <f t="shared" si="12"/>
        <v>0</v>
      </c>
      <c r="AG187" s="14">
        <f t="shared" si="10"/>
        <v>0</v>
      </c>
      <c r="AH187" s="14">
        <f t="shared" si="11"/>
        <v>0.5</v>
      </c>
      <c r="AI187" s="6">
        <v>45939</v>
      </c>
      <c r="AJ187">
        <v>163787.47650843725</v>
      </c>
    </row>
    <row r="188" spans="1:36" ht="15.75" x14ac:dyDescent="0.25">
      <c r="A188">
        <v>6310</v>
      </c>
      <c r="B188">
        <v>1</v>
      </c>
      <c r="C188">
        <v>2</v>
      </c>
      <c r="D188">
        <v>4</v>
      </c>
      <c r="E188" t="s">
        <v>35</v>
      </c>
      <c r="F188">
        <v>4</v>
      </c>
      <c r="G188">
        <v>3</v>
      </c>
      <c r="H188" t="s">
        <v>35</v>
      </c>
      <c r="I188">
        <v>155.16666666666669</v>
      </c>
      <c r="J188">
        <v>2333.333333333333</v>
      </c>
      <c r="K188">
        <v>0</v>
      </c>
      <c r="L188">
        <v>880</v>
      </c>
      <c r="M188">
        <v>20456</v>
      </c>
      <c r="N188" s="1">
        <f t="shared" si="7"/>
        <v>3835.5</v>
      </c>
      <c r="O188">
        <v>1927.5</v>
      </c>
      <c r="P188">
        <v>1500</v>
      </c>
      <c r="Q188">
        <v>3750</v>
      </c>
      <c r="R188">
        <v>400</v>
      </c>
      <c r="S188">
        <v>917.72500000000002</v>
      </c>
      <c r="T188" s="8"/>
      <c r="U188" s="7">
        <v>255700</v>
      </c>
      <c r="V188" s="9">
        <v>167805.8601456926</v>
      </c>
      <c r="W188" s="14">
        <v>1.6690452563590104</v>
      </c>
      <c r="X188" s="14">
        <v>0.75466628835292227</v>
      </c>
      <c r="Y188" s="14">
        <v>1.29081430881302</v>
      </c>
      <c r="Z188" s="15">
        <v>46356</v>
      </c>
      <c r="AA188" s="10">
        <v>220929.64374999999</v>
      </c>
      <c r="AB188">
        <v>53123.783604307391</v>
      </c>
      <c r="AC188" s="10">
        <v>1.2692220691235057</v>
      </c>
      <c r="AD188" s="14">
        <v>0.23767738938331601</v>
      </c>
      <c r="AE188" s="14">
        <f t="shared" si="9"/>
        <v>0.5</v>
      </c>
      <c r="AF188" s="14">
        <f t="shared" si="12"/>
        <v>0</v>
      </c>
      <c r="AG188" s="14">
        <f t="shared" si="10"/>
        <v>0</v>
      </c>
      <c r="AH188" s="14">
        <f t="shared" si="11"/>
        <v>0.5</v>
      </c>
      <c r="AI188" s="6">
        <v>45939</v>
      </c>
      <c r="AJ188">
        <v>184867.92402305125</v>
      </c>
    </row>
    <row r="189" spans="1:36" ht="15.75" x14ac:dyDescent="0.25">
      <c r="A189">
        <v>6311</v>
      </c>
      <c r="B189">
        <v>1</v>
      </c>
      <c r="C189">
        <v>2</v>
      </c>
      <c r="D189">
        <v>4.5</v>
      </c>
      <c r="F189">
        <v>4</v>
      </c>
      <c r="G189">
        <v>2.5</v>
      </c>
      <c r="H189" t="s">
        <v>35</v>
      </c>
      <c r="I189">
        <v>4385.5</v>
      </c>
      <c r="J189">
        <v>2100</v>
      </c>
      <c r="K189">
        <v>0</v>
      </c>
      <c r="L189">
        <v>880</v>
      </c>
      <c r="M189" s="11">
        <f>0.08*U189</f>
        <v>24388</v>
      </c>
      <c r="N189" s="1">
        <f t="shared" si="7"/>
        <v>4572.75</v>
      </c>
      <c r="O189">
        <v>3080</v>
      </c>
      <c r="P189">
        <v>2250</v>
      </c>
      <c r="Q189">
        <v>6250</v>
      </c>
      <c r="R189" s="7">
        <v>400</v>
      </c>
      <c r="S189">
        <v>939.40000000000009</v>
      </c>
      <c r="U189" s="7">
        <v>304850</v>
      </c>
      <c r="V189">
        <v>173290.12</v>
      </c>
      <c r="W189" s="14">
        <v>1.3116635870208597</v>
      </c>
      <c r="X189" s="14">
        <v>0.62903218370935909</v>
      </c>
      <c r="Y189" s="14">
        <v>0.73740476595744675</v>
      </c>
      <c r="Z189" s="6">
        <v>46418</v>
      </c>
      <c r="AA189">
        <v>260512.88749999998</v>
      </c>
      <c r="AB189">
        <v>87222.767500000002</v>
      </c>
      <c r="AC189" s="17">
        <v>1.4007897655914916</v>
      </c>
      <c r="AD189" s="14">
        <v>0.36775267720222471</v>
      </c>
      <c r="AE189" s="14">
        <v>0.5</v>
      </c>
      <c r="AF189" s="14">
        <v>0</v>
      </c>
      <c r="AG189" s="14">
        <v>0</v>
      </c>
      <c r="AH189" s="14">
        <v>0.5</v>
      </c>
      <c r="AJ189">
        <v>173290.12</v>
      </c>
    </row>
    <row r="190" spans="1:36" ht="15.75" x14ac:dyDescent="0.25">
      <c r="A190">
        <v>6312</v>
      </c>
      <c r="B190">
        <v>1</v>
      </c>
      <c r="C190">
        <v>2</v>
      </c>
      <c r="D190">
        <v>4.5</v>
      </c>
      <c r="F190">
        <v>4</v>
      </c>
      <c r="G190">
        <v>2.5</v>
      </c>
      <c r="H190" t="s">
        <v>35</v>
      </c>
      <c r="I190">
        <v>4385.5</v>
      </c>
      <c r="J190">
        <v>2100</v>
      </c>
      <c r="K190">
        <v>0</v>
      </c>
      <c r="L190">
        <v>880</v>
      </c>
      <c r="M190" s="11">
        <f t="shared" ref="M190:M202" si="13">0.08*U190</f>
        <v>28632</v>
      </c>
      <c r="N190" s="1">
        <f t="shared" si="7"/>
        <v>5368.5</v>
      </c>
      <c r="O190">
        <v>3600</v>
      </c>
      <c r="P190">
        <v>2250</v>
      </c>
      <c r="Q190">
        <v>6250</v>
      </c>
      <c r="R190" s="7">
        <v>400</v>
      </c>
      <c r="S190">
        <v>939.40000000000009</v>
      </c>
      <c r="U190" s="7">
        <v>357900</v>
      </c>
      <c r="V190">
        <v>258002.42</v>
      </c>
      <c r="W190" s="14">
        <v>1.2307304011122646</v>
      </c>
      <c r="X190" s="14">
        <v>0.67971754259964601</v>
      </c>
      <c r="Y190" s="14">
        <v>0.72676738028169019</v>
      </c>
      <c r="Z190" s="6">
        <v>46418</v>
      </c>
      <c r="AA190">
        <v>307822.43541666667</v>
      </c>
      <c r="AB190">
        <v>49820.015416666654</v>
      </c>
      <c r="AC190" s="17">
        <v>1.1617113019660992</v>
      </c>
      <c r="AD190" s="14">
        <v>0.14628571867942811</v>
      </c>
      <c r="AE190" s="14">
        <v>0.5</v>
      </c>
      <c r="AF190" s="14">
        <v>0</v>
      </c>
      <c r="AG190" s="14">
        <v>0</v>
      </c>
      <c r="AH190" s="14">
        <v>0.5</v>
      </c>
      <c r="AJ190">
        <v>258002.42</v>
      </c>
    </row>
    <row r="191" spans="1:36" ht="15.75" x14ac:dyDescent="0.25">
      <c r="A191">
        <v>6313</v>
      </c>
      <c r="B191">
        <v>1</v>
      </c>
      <c r="C191">
        <v>2</v>
      </c>
      <c r="D191">
        <v>4.5</v>
      </c>
      <c r="E191">
        <v>4</v>
      </c>
      <c r="F191">
        <v>4</v>
      </c>
      <c r="G191">
        <v>2.5</v>
      </c>
      <c r="H191">
        <v>20000</v>
      </c>
      <c r="I191">
        <v>5638.5</v>
      </c>
      <c r="J191">
        <v>2700</v>
      </c>
      <c r="K191">
        <v>0</v>
      </c>
      <c r="L191">
        <v>1760</v>
      </c>
      <c r="M191" s="11">
        <f t="shared" si="13"/>
        <v>41756</v>
      </c>
      <c r="N191" s="1">
        <f t="shared" si="7"/>
        <v>7829.25</v>
      </c>
      <c r="O191">
        <v>0</v>
      </c>
      <c r="P191">
        <v>2250</v>
      </c>
      <c r="Q191">
        <v>6250</v>
      </c>
      <c r="R191" s="7">
        <v>400</v>
      </c>
      <c r="S191">
        <v>1085.2</v>
      </c>
      <c r="U191" s="7">
        <v>521950</v>
      </c>
      <c r="V191">
        <v>364072.36</v>
      </c>
      <c r="W191" s="14">
        <v>2.0634585771891567</v>
      </c>
      <c r="X191" s="14">
        <v>0.8899172397242382</v>
      </c>
      <c r="Y191" s="14">
        <v>0.72093536633663369</v>
      </c>
      <c r="Z191" s="6">
        <v>46507</v>
      </c>
      <c r="AA191">
        <v>439299.98333333334</v>
      </c>
      <c r="AB191">
        <v>75227.623333333351</v>
      </c>
      <c r="AC191" s="17">
        <v>1.1683990488559439</v>
      </c>
      <c r="AD191" s="14">
        <v>0.12907518744468685</v>
      </c>
      <c r="AE191" s="14">
        <v>0</v>
      </c>
      <c r="AF191" s="14">
        <v>0.5</v>
      </c>
      <c r="AG191" s="14">
        <v>0.5</v>
      </c>
      <c r="AH191" s="14">
        <v>0</v>
      </c>
      <c r="AJ191">
        <v>364072.36</v>
      </c>
    </row>
    <row r="192" spans="1:36" ht="15.75" x14ac:dyDescent="0.25">
      <c r="A192">
        <v>6314</v>
      </c>
      <c r="B192">
        <v>1</v>
      </c>
      <c r="C192">
        <v>2</v>
      </c>
      <c r="D192">
        <v>4.5</v>
      </c>
      <c r="E192">
        <v>4</v>
      </c>
      <c r="F192">
        <v>4</v>
      </c>
      <c r="G192">
        <v>2.5</v>
      </c>
      <c r="H192">
        <v>135000</v>
      </c>
      <c r="I192">
        <v>5638.5</v>
      </c>
      <c r="J192">
        <v>2700</v>
      </c>
      <c r="K192">
        <v>0</v>
      </c>
      <c r="L192">
        <v>1760</v>
      </c>
      <c r="M192" s="11">
        <f t="shared" si="13"/>
        <v>59600</v>
      </c>
      <c r="N192" s="1">
        <f t="shared" si="7"/>
        <v>11175</v>
      </c>
      <c r="O192">
        <v>0</v>
      </c>
      <c r="P192">
        <v>2250</v>
      </c>
      <c r="Q192">
        <v>6250</v>
      </c>
      <c r="R192" s="7">
        <v>400</v>
      </c>
      <c r="S192">
        <v>1085.2</v>
      </c>
      <c r="U192" s="7">
        <v>745000</v>
      </c>
      <c r="V192">
        <v>402408.23</v>
      </c>
      <c r="W192" s="14">
        <v>2.0623866902107415</v>
      </c>
      <c r="X192" s="14">
        <v>0.7723676424729562</v>
      </c>
      <c r="Y192" s="14">
        <v>1.0875898108108109</v>
      </c>
      <c r="Z192" s="6">
        <v>46507</v>
      </c>
      <c r="AA192">
        <v>537097.65416666667</v>
      </c>
      <c r="AB192">
        <v>134689.42416666669</v>
      </c>
      <c r="AC192" s="17">
        <v>1.2206899724501061</v>
      </c>
      <c r="AD192" s="14">
        <v>0.1987580001354218</v>
      </c>
      <c r="AE192" s="14">
        <v>0</v>
      </c>
      <c r="AF192" s="14">
        <v>0.5</v>
      </c>
      <c r="AG192" s="14">
        <v>0.5</v>
      </c>
      <c r="AH192" s="14">
        <v>0</v>
      </c>
      <c r="AJ192">
        <v>402408.23</v>
      </c>
    </row>
    <row r="193" spans="1:36" ht="15.75" x14ac:dyDescent="0.25">
      <c r="A193">
        <v>6315</v>
      </c>
      <c r="B193">
        <v>1</v>
      </c>
      <c r="C193">
        <v>2</v>
      </c>
      <c r="D193">
        <v>6</v>
      </c>
      <c r="F193">
        <v>4</v>
      </c>
      <c r="G193">
        <v>3</v>
      </c>
      <c r="H193" t="s">
        <v>35</v>
      </c>
      <c r="I193">
        <v>5012</v>
      </c>
      <c r="J193">
        <v>2400</v>
      </c>
      <c r="K193">
        <v>0</v>
      </c>
      <c r="L193">
        <v>880</v>
      </c>
      <c r="M193" s="11">
        <f t="shared" si="13"/>
        <v>17244</v>
      </c>
      <c r="N193" s="1">
        <f t="shared" ref="N193:N202" si="14">0.015*U193</f>
        <v>3233.25</v>
      </c>
      <c r="O193">
        <v>2170</v>
      </c>
      <c r="P193">
        <v>2250</v>
      </c>
      <c r="Q193">
        <v>6250</v>
      </c>
      <c r="R193" s="7">
        <v>400</v>
      </c>
      <c r="S193">
        <v>1112.6500000000001</v>
      </c>
      <c r="U193" s="7">
        <v>215550</v>
      </c>
      <c r="V193">
        <v>144189.87</v>
      </c>
      <c r="W193" s="14">
        <v>0.82574086099210742</v>
      </c>
      <c r="X193" s="14">
        <v>0.42305192320827562</v>
      </c>
      <c r="Y193" s="14">
        <v>0.57675947999999999</v>
      </c>
      <c r="Z193" s="6">
        <v>46477</v>
      </c>
      <c r="AA193">
        <v>176871.96249999999</v>
      </c>
      <c r="AB193">
        <v>32682.092499999999</v>
      </c>
      <c r="AC193" s="17">
        <v>1.1787196722858548</v>
      </c>
      <c r="AD193" s="14">
        <v>0.14609504342079169</v>
      </c>
      <c r="AE193" s="14">
        <v>0.5</v>
      </c>
      <c r="AF193" s="14">
        <v>0</v>
      </c>
      <c r="AG193" s="14">
        <v>0</v>
      </c>
      <c r="AH193" s="14">
        <v>0.5</v>
      </c>
      <c r="AJ193">
        <v>144189.87</v>
      </c>
    </row>
    <row r="194" spans="1:36" ht="15.75" x14ac:dyDescent="0.25">
      <c r="A194">
        <v>6316</v>
      </c>
      <c r="B194">
        <v>1</v>
      </c>
      <c r="C194">
        <v>2</v>
      </c>
      <c r="D194">
        <v>6</v>
      </c>
      <c r="F194">
        <v>4</v>
      </c>
      <c r="G194">
        <v>3</v>
      </c>
      <c r="H194" t="s">
        <v>35</v>
      </c>
      <c r="I194">
        <v>5012</v>
      </c>
      <c r="J194">
        <v>2400</v>
      </c>
      <c r="K194">
        <v>0</v>
      </c>
      <c r="L194">
        <v>880</v>
      </c>
      <c r="M194" s="11">
        <f t="shared" si="13"/>
        <v>19164</v>
      </c>
      <c r="N194" s="1">
        <f t="shared" si="14"/>
        <v>3593.25</v>
      </c>
      <c r="O194">
        <v>2490</v>
      </c>
      <c r="P194">
        <v>2250</v>
      </c>
      <c r="Q194">
        <v>6250</v>
      </c>
      <c r="R194" s="7">
        <v>400</v>
      </c>
      <c r="S194">
        <v>1112.6500000000001</v>
      </c>
      <c r="U194" s="7">
        <v>239550</v>
      </c>
      <c r="V194">
        <v>146004.85</v>
      </c>
      <c r="W194" s="14">
        <v>1.5762189921601903</v>
      </c>
      <c r="X194" s="14">
        <v>0.89771973235559743</v>
      </c>
      <c r="Y194" s="14">
        <v>0.56155711538461539</v>
      </c>
      <c r="Z194" s="6">
        <v>46477</v>
      </c>
      <c r="AA194">
        <v>199431.05000000002</v>
      </c>
      <c r="AB194">
        <v>53426.199999999968</v>
      </c>
      <c r="AC194" s="17">
        <v>1.287046578675054</v>
      </c>
      <c r="AD194" s="14">
        <v>0.23334469199180605</v>
      </c>
      <c r="AE194" s="14">
        <v>0.5</v>
      </c>
      <c r="AF194" s="14">
        <v>0</v>
      </c>
      <c r="AG194" s="14">
        <v>0</v>
      </c>
      <c r="AH194" s="14">
        <v>0.5</v>
      </c>
      <c r="AJ194">
        <v>146004.85</v>
      </c>
    </row>
    <row r="195" spans="1:36" ht="15.75" x14ac:dyDescent="0.25">
      <c r="A195">
        <v>6317</v>
      </c>
      <c r="B195">
        <v>1</v>
      </c>
      <c r="C195">
        <v>2</v>
      </c>
      <c r="D195">
        <v>6</v>
      </c>
      <c r="E195">
        <v>4</v>
      </c>
      <c r="F195">
        <v>4</v>
      </c>
      <c r="G195">
        <v>3</v>
      </c>
      <c r="H195">
        <v>100000</v>
      </c>
      <c r="I195">
        <v>6265</v>
      </c>
      <c r="J195">
        <v>3000</v>
      </c>
      <c r="K195">
        <v>0</v>
      </c>
      <c r="L195">
        <v>1760</v>
      </c>
      <c r="M195" s="11">
        <f t="shared" si="13"/>
        <v>38912</v>
      </c>
      <c r="N195" s="1">
        <f t="shared" si="14"/>
        <v>7296</v>
      </c>
      <c r="O195">
        <v>0</v>
      </c>
      <c r="P195">
        <v>2250</v>
      </c>
      <c r="Q195">
        <v>6250</v>
      </c>
      <c r="R195" s="7">
        <v>400</v>
      </c>
      <c r="S195">
        <v>1307.0500000000002</v>
      </c>
      <c r="U195" s="7">
        <v>486400</v>
      </c>
      <c r="V195">
        <v>256617.01</v>
      </c>
      <c r="W195" s="14">
        <v>1.3712163469787391</v>
      </c>
      <c r="X195" s="14">
        <v>0.63261822711643545</v>
      </c>
      <c r="Y195" s="14">
        <v>0.70306030136986308</v>
      </c>
      <c r="Z195" s="6">
        <v>46599</v>
      </c>
      <c r="AA195">
        <v>329131.19166666665</v>
      </c>
      <c r="AB195">
        <v>72514.181666666642</v>
      </c>
      <c r="AC195" s="17">
        <v>1.1752033494616274</v>
      </c>
      <c r="AD195" s="14">
        <v>0.13914050459861751</v>
      </c>
      <c r="AE195" s="14">
        <v>0</v>
      </c>
      <c r="AF195" s="14">
        <v>0.5</v>
      </c>
      <c r="AG195" s="14">
        <v>0.5</v>
      </c>
      <c r="AH195" s="14">
        <v>0</v>
      </c>
      <c r="AJ195">
        <v>256617.01</v>
      </c>
    </row>
    <row r="196" spans="1:36" ht="15.75" x14ac:dyDescent="0.25">
      <c r="A196">
        <v>6318</v>
      </c>
      <c r="B196">
        <v>1</v>
      </c>
      <c r="C196">
        <v>2</v>
      </c>
      <c r="D196">
        <v>6</v>
      </c>
      <c r="E196">
        <v>4</v>
      </c>
      <c r="F196">
        <v>4</v>
      </c>
      <c r="G196">
        <v>3</v>
      </c>
      <c r="H196">
        <v>200000</v>
      </c>
      <c r="I196">
        <v>6265</v>
      </c>
      <c r="J196">
        <v>3000</v>
      </c>
      <c r="K196">
        <v>0</v>
      </c>
      <c r="L196">
        <v>1760</v>
      </c>
      <c r="M196" s="11">
        <f t="shared" si="13"/>
        <v>43468</v>
      </c>
      <c r="N196" s="1">
        <f t="shared" si="14"/>
        <v>8150.25</v>
      </c>
      <c r="O196">
        <v>0</v>
      </c>
      <c r="P196">
        <v>2250</v>
      </c>
      <c r="Q196">
        <v>6250</v>
      </c>
      <c r="R196" s="7">
        <v>400</v>
      </c>
      <c r="S196">
        <v>1307.0500000000002</v>
      </c>
      <c r="U196" s="7">
        <v>543350</v>
      </c>
      <c r="V196">
        <v>147319.92000000001</v>
      </c>
      <c r="W196" s="14">
        <v>0.39578917912011607</v>
      </c>
      <c r="X196" s="14">
        <v>0.23264378070920896</v>
      </c>
      <c r="Y196" s="14">
        <v>0.49106640000000007</v>
      </c>
      <c r="Z196" s="6">
        <v>46599</v>
      </c>
      <c r="AA196">
        <v>293649.32499999995</v>
      </c>
      <c r="AB196">
        <v>146329.40499999994</v>
      </c>
      <c r="AC196" s="17">
        <v>1.3685688018275222</v>
      </c>
      <c r="AD196" s="14">
        <v>0.40159471631050114</v>
      </c>
      <c r="AE196" s="14">
        <v>0</v>
      </c>
      <c r="AF196" s="14">
        <v>0.5</v>
      </c>
      <c r="AG196" s="14">
        <v>0.5</v>
      </c>
      <c r="AH196" s="14">
        <v>0</v>
      </c>
      <c r="AJ196">
        <v>147319.92000000001</v>
      </c>
    </row>
    <row r="197" spans="1:36" ht="15.75" x14ac:dyDescent="0.25">
      <c r="A197">
        <v>6319</v>
      </c>
      <c r="B197">
        <v>1</v>
      </c>
      <c r="C197">
        <v>2</v>
      </c>
      <c r="D197">
        <v>6</v>
      </c>
      <c r="E197">
        <v>4</v>
      </c>
      <c r="F197">
        <v>4</v>
      </c>
      <c r="G197">
        <v>3</v>
      </c>
      <c r="H197">
        <v>80000</v>
      </c>
      <c r="I197">
        <v>6265</v>
      </c>
      <c r="J197">
        <v>3000</v>
      </c>
      <c r="K197">
        <v>0</v>
      </c>
      <c r="L197">
        <v>1760</v>
      </c>
      <c r="M197" s="11">
        <f t="shared" si="13"/>
        <v>40584</v>
      </c>
      <c r="N197" s="1">
        <f t="shared" si="14"/>
        <v>7609.5</v>
      </c>
      <c r="O197">
        <v>0</v>
      </c>
      <c r="P197">
        <v>2250</v>
      </c>
      <c r="Q197">
        <v>6250</v>
      </c>
      <c r="R197" s="7">
        <v>400</v>
      </c>
      <c r="S197">
        <v>1307.0500000000002</v>
      </c>
      <c r="U197" s="7">
        <v>507300</v>
      </c>
      <c r="V197">
        <v>280256.08</v>
      </c>
      <c r="W197" s="14">
        <v>0.90297357487843799</v>
      </c>
      <c r="X197" s="14">
        <v>0.33852591631753254</v>
      </c>
      <c r="Y197" s="14">
        <v>0.70239619047619051</v>
      </c>
      <c r="Z197" s="6">
        <v>46599</v>
      </c>
      <c r="AA197">
        <v>363555.78333333333</v>
      </c>
      <c r="AB197">
        <v>83299.703333333309</v>
      </c>
      <c r="AC197" s="17">
        <v>1.1964614270041902</v>
      </c>
      <c r="AD197" s="14">
        <v>0.14785149693489077</v>
      </c>
      <c r="AE197" s="14">
        <v>0</v>
      </c>
      <c r="AF197" s="14">
        <v>0.5</v>
      </c>
      <c r="AG197" s="14">
        <v>0.5</v>
      </c>
      <c r="AH197" s="14">
        <v>0</v>
      </c>
      <c r="AJ197">
        <v>280256.08</v>
      </c>
    </row>
    <row r="198" spans="1:36" ht="15.75" x14ac:dyDescent="0.25">
      <c r="A198">
        <v>6320</v>
      </c>
      <c r="B198">
        <v>1</v>
      </c>
      <c r="C198">
        <v>2</v>
      </c>
      <c r="D198">
        <v>6</v>
      </c>
      <c r="E198">
        <v>4</v>
      </c>
      <c r="F198">
        <v>4</v>
      </c>
      <c r="G198">
        <v>3</v>
      </c>
      <c r="H198">
        <v>150000</v>
      </c>
      <c r="I198">
        <v>6265</v>
      </c>
      <c r="J198">
        <v>3000</v>
      </c>
      <c r="K198">
        <v>0</v>
      </c>
      <c r="L198">
        <v>1760</v>
      </c>
      <c r="M198" s="11">
        <f t="shared" si="13"/>
        <v>65040</v>
      </c>
      <c r="N198" s="1">
        <f t="shared" si="14"/>
        <v>12195</v>
      </c>
      <c r="O198">
        <v>0</v>
      </c>
      <c r="P198">
        <v>2250</v>
      </c>
      <c r="Q198">
        <v>6250</v>
      </c>
      <c r="R198" s="7">
        <v>400</v>
      </c>
      <c r="S198">
        <v>1307.0500000000002</v>
      </c>
      <c r="U198" s="7">
        <v>813000</v>
      </c>
      <c r="V198">
        <v>451727.71</v>
      </c>
      <c r="W198" s="14">
        <v>1.3439269755414642</v>
      </c>
      <c r="X198" s="14">
        <v>0.54068032970739466</v>
      </c>
      <c r="Y198" s="14">
        <v>0.74053722950819678</v>
      </c>
      <c r="Z198" s="6">
        <v>46599</v>
      </c>
      <c r="AA198">
        <v>572229.1791666667</v>
      </c>
      <c r="AB198">
        <v>120501.46916666662</v>
      </c>
      <c r="AC198" s="17">
        <v>1.1740097109255359</v>
      </c>
      <c r="AD198" s="14">
        <v>0.13382845520973211</v>
      </c>
      <c r="AE198" s="14">
        <v>0</v>
      </c>
      <c r="AF198" s="14">
        <v>0.5</v>
      </c>
      <c r="AG198" s="14">
        <v>0.5</v>
      </c>
      <c r="AH198" s="14">
        <v>0</v>
      </c>
      <c r="AJ198">
        <v>451727.71</v>
      </c>
    </row>
    <row r="199" spans="1:36" ht="15.75" x14ac:dyDescent="0.25">
      <c r="A199">
        <v>6321</v>
      </c>
      <c r="B199">
        <v>1</v>
      </c>
      <c r="C199">
        <v>2</v>
      </c>
      <c r="D199">
        <v>6</v>
      </c>
      <c r="E199">
        <v>4</v>
      </c>
      <c r="F199">
        <v>4</v>
      </c>
      <c r="G199">
        <v>3</v>
      </c>
      <c r="H199">
        <v>200000</v>
      </c>
      <c r="I199">
        <v>6265</v>
      </c>
      <c r="J199">
        <v>3000</v>
      </c>
      <c r="K199">
        <v>0</v>
      </c>
      <c r="L199">
        <v>1760</v>
      </c>
      <c r="M199" s="11">
        <f t="shared" si="13"/>
        <v>48036</v>
      </c>
      <c r="N199" s="1">
        <f t="shared" si="14"/>
        <v>9006.75</v>
      </c>
      <c r="O199">
        <v>0</v>
      </c>
      <c r="P199">
        <v>2250</v>
      </c>
      <c r="Q199">
        <v>6250</v>
      </c>
      <c r="R199" s="7">
        <v>400</v>
      </c>
      <c r="S199">
        <v>1307.0500000000002</v>
      </c>
      <c r="U199" s="7">
        <v>600450</v>
      </c>
      <c r="V199">
        <v>233001.38</v>
      </c>
      <c r="W199" s="14">
        <v>1.1711751869156883</v>
      </c>
      <c r="X199" s="14">
        <v>0.47631016921912211</v>
      </c>
      <c r="Y199" s="14">
        <v>0.72812931250000001</v>
      </c>
      <c r="Z199" s="6">
        <v>46599</v>
      </c>
      <c r="AA199">
        <v>342237.28333333344</v>
      </c>
      <c r="AB199">
        <v>109235.90333333332</v>
      </c>
      <c r="AC199" s="17">
        <v>1.2223794147492877</v>
      </c>
      <c r="AD199" s="14">
        <v>0.21259451508522037</v>
      </c>
      <c r="AE199" s="14">
        <v>0</v>
      </c>
      <c r="AF199" s="14">
        <v>0.5</v>
      </c>
      <c r="AG199" s="14">
        <v>0.5</v>
      </c>
      <c r="AH199" s="14">
        <v>0</v>
      </c>
      <c r="AJ199">
        <v>233001.38</v>
      </c>
    </row>
    <row r="200" spans="1:36" ht="15.75" x14ac:dyDescent="0.25">
      <c r="A200">
        <v>6322</v>
      </c>
      <c r="B200">
        <v>1</v>
      </c>
      <c r="C200">
        <v>2</v>
      </c>
      <c r="D200">
        <v>6</v>
      </c>
      <c r="E200">
        <v>4</v>
      </c>
      <c r="F200">
        <v>4</v>
      </c>
      <c r="G200">
        <v>3</v>
      </c>
      <c r="H200">
        <v>100000</v>
      </c>
      <c r="I200">
        <v>6265</v>
      </c>
      <c r="J200">
        <v>3000</v>
      </c>
      <c r="K200">
        <v>0</v>
      </c>
      <c r="L200">
        <v>1760</v>
      </c>
      <c r="M200" s="11">
        <f t="shared" si="13"/>
        <v>44292</v>
      </c>
      <c r="N200" s="1">
        <f t="shared" si="14"/>
        <v>8304.75</v>
      </c>
      <c r="O200">
        <v>0</v>
      </c>
      <c r="P200">
        <v>2250</v>
      </c>
      <c r="Q200">
        <v>6250</v>
      </c>
      <c r="R200" s="7">
        <v>400</v>
      </c>
      <c r="S200">
        <v>1307.0500000000002</v>
      </c>
      <c r="U200" s="7">
        <v>553650</v>
      </c>
      <c r="V200">
        <v>289455.14</v>
      </c>
      <c r="W200" s="14">
        <v>1.2054497103390558</v>
      </c>
      <c r="X200" s="14">
        <v>0.61127252685100741</v>
      </c>
      <c r="Y200" s="14">
        <v>0.7327978227848102</v>
      </c>
      <c r="Z200" s="6">
        <v>46599</v>
      </c>
      <c r="AA200">
        <v>389649.28333333333</v>
      </c>
      <c r="AB200">
        <v>100194.14333333331</v>
      </c>
      <c r="AC200" s="17">
        <v>1.2209567742047833</v>
      </c>
      <c r="AD200" s="14">
        <v>0.17043949961662291</v>
      </c>
      <c r="AE200" s="14">
        <v>0</v>
      </c>
      <c r="AF200" s="14">
        <v>0.5</v>
      </c>
      <c r="AG200" s="14">
        <v>0.5</v>
      </c>
      <c r="AH200" s="14">
        <v>0</v>
      </c>
      <c r="AJ200">
        <v>289455.14</v>
      </c>
    </row>
    <row r="201" spans="1:36" ht="15.75" x14ac:dyDescent="0.25">
      <c r="A201">
        <v>6323</v>
      </c>
      <c r="B201">
        <v>1</v>
      </c>
      <c r="C201">
        <v>2</v>
      </c>
      <c r="D201">
        <v>12</v>
      </c>
      <c r="E201">
        <v>4</v>
      </c>
      <c r="F201">
        <v>4</v>
      </c>
      <c r="G201">
        <v>3</v>
      </c>
      <c r="H201">
        <v>250000</v>
      </c>
      <c r="I201">
        <v>8144.5</v>
      </c>
      <c r="J201">
        <v>3900</v>
      </c>
      <c r="K201">
        <v>0</v>
      </c>
      <c r="L201">
        <v>1760</v>
      </c>
      <c r="M201" s="11">
        <f t="shared" si="13"/>
        <v>100548</v>
      </c>
      <c r="N201" s="1">
        <f t="shared" si="14"/>
        <v>18852.75</v>
      </c>
      <c r="O201">
        <v>0</v>
      </c>
      <c r="P201">
        <v>2250</v>
      </c>
      <c r="Q201">
        <v>6250</v>
      </c>
      <c r="R201" s="7">
        <v>400</v>
      </c>
      <c r="S201">
        <v>1901.0500000000002</v>
      </c>
      <c r="U201" s="7">
        <v>1256850</v>
      </c>
      <c r="V201">
        <v>576880.4</v>
      </c>
      <c r="W201" s="14">
        <v>0.85626399844017798</v>
      </c>
      <c r="X201" s="14">
        <v>0.3698185808667982</v>
      </c>
      <c r="Y201" s="14">
        <v>0.88750830769230771</v>
      </c>
      <c r="Z201" s="6">
        <v>46783</v>
      </c>
      <c r="AA201">
        <v>880332.45</v>
      </c>
      <c r="AB201">
        <v>303452.05</v>
      </c>
      <c r="AC201" s="17">
        <v>1.3182847729009697</v>
      </c>
      <c r="AD201" s="14">
        <v>0.19258189797401429</v>
      </c>
      <c r="AE201" s="14">
        <v>0</v>
      </c>
      <c r="AF201" s="14">
        <v>0.5</v>
      </c>
      <c r="AG201" s="14">
        <v>0.5</v>
      </c>
      <c r="AH201" s="14">
        <v>0</v>
      </c>
      <c r="AJ201">
        <v>576880.4</v>
      </c>
    </row>
    <row r="202" spans="1:36" ht="15.75" x14ac:dyDescent="0.25">
      <c r="A202">
        <v>6324</v>
      </c>
      <c r="B202">
        <v>1</v>
      </c>
      <c r="C202">
        <v>2</v>
      </c>
      <c r="D202">
        <v>5</v>
      </c>
      <c r="E202">
        <v>4</v>
      </c>
      <c r="F202">
        <v>4</v>
      </c>
      <c r="G202">
        <v>3</v>
      </c>
      <c r="H202">
        <v>125000</v>
      </c>
      <c r="I202">
        <v>5951.75</v>
      </c>
      <c r="J202">
        <v>2850</v>
      </c>
      <c r="K202">
        <v>0</v>
      </c>
      <c r="L202">
        <v>1760</v>
      </c>
      <c r="M202" s="11">
        <f t="shared" si="13"/>
        <v>67648</v>
      </c>
      <c r="N202" s="1">
        <f t="shared" si="14"/>
        <v>12684</v>
      </c>
      <c r="O202">
        <v>0</v>
      </c>
      <c r="P202">
        <v>2250</v>
      </c>
      <c r="Q202">
        <v>6250</v>
      </c>
      <c r="R202" s="7">
        <v>400</v>
      </c>
      <c r="S202">
        <v>1208.05</v>
      </c>
      <c r="U202" s="7">
        <v>845600</v>
      </c>
      <c r="V202">
        <v>400000</v>
      </c>
      <c r="W202" s="14">
        <v>1.4607099693163264</v>
      </c>
      <c r="X202" s="14">
        <v>0.63102666950607633</v>
      </c>
      <c r="Y202" s="14">
        <v>0.62804306491296114</v>
      </c>
      <c r="Z202" s="6">
        <v>46568</v>
      </c>
      <c r="AA202">
        <v>640530.10624999995</v>
      </c>
      <c r="AB202">
        <v>240530.10624999998</v>
      </c>
      <c r="AC202" s="17">
        <v>1.397524498796797</v>
      </c>
      <c r="AD202" s="14">
        <v>0.30836517214775094</v>
      </c>
      <c r="AE202" s="14">
        <v>0</v>
      </c>
      <c r="AF202" s="14">
        <v>0.5</v>
      </c>
      <c r="AG202" s="14">
        <v>0.5</v>
      </c>
      <c r="AH202" s="14">
        <v>0</v>
      </c>
      <c r="AJ202">
        <v>400000</v>
      </c>
    </row>
  </sheetData>
  <conditionalFormatting sqref="X2:X50">
    <cfRule type="cellIs" dxfId="0" priority="1" operator="equal">
      <formula>0.875</formula>
    </cfRule>
  </conditionalFormatting>
  <dataValidations count="1">
    <dataValidation type="list" allowBlank="1" showInputMessage="1" showErrorMessage="1" sqref="B1:AP1" xr:uid="{8D4A6629-5814-4739-AED7-8AA550035E41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Knobf</dc:creator>
  <cp:lastModifiedBy>Garrett Knobf</cp:lastModifiedBy>
  <dcterms:created xsi:type="dcterms:W3CDTF">2025-11-20T17:14:43Z</dcterms:created>
  <dcterms:modified xsi:type="dcterms:W3CDTF">2025-11-24T16:52:33Z</dcterms:modified>
</cp:coreProperties>
</file>